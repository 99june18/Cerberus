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김준환\Desktop\"/>
    </mc:Choice>
  </mc:AlternateContent>
  <xr:revisionPtr revIDLastSave="0" documentId="13_ncr:1_{40CF5CC0-F1E4-4508-9221-BA0271F35553}" xr6:coauthVersionLast="47" xr6:coauthVersionMax="47" xr10:uidLastSave="{00000000-0000-0000-0000-000000000000}"/>
  <bookViews>
    <workbookView xWindow="-98" yWindow="-98" windowWidth="28996" windowHeight="15675" xr2:uid="{BB165EBD-5F11-4706-8137-800AF3303D38}"/>
  </bookViews>
  <sheets>
    <sheet name="Power calculation" sheetId="1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2" l="1"/>
  <c r="E42" i="12"/>
  <c r="E41" i="12"/>
  <c r="E40" i="12"/>
  <c r="D40" i="12" s="1"/>
  <c r="C40" i="12"/>
  <c r="E39" i="12"/>
  <c r="G39" i="12" s="1"/>
  <c r="D39" i="12"/>
  <c r="C39" i="12"/>
  <c r="D7" i="12"/>
  <c r="E7" i="12" s="1"/>
  <c r="E10" i="12" l="1"/>
  <c r="F41" i="12"/>
  <c r="F39" i="12"/>
  <c r="F40" i="12"/>
  <c r="G40" i="12"/>
  <c r="C41" i="12"/>
  <c r="D41" i="12"/>
  <c r="G41" i="12"/>
  <c r="E8" i="12" l="1"/>
  <c r="E9" i="12"/>
  <c r="F43" i="12" s="1"/>
  <c r="G42" i="12" l="1"/>
  <c r="C42" i="12"/>
  <c r="D43" i="12"/>
  <c r="D42" i="12"/>
  <c r="C43" i="12"/>
  <c r="F42" i="12"/>
  <c r="G43" i="12"/>
</calcChain>
</file>

<file path=xl/sharedStrings.xml><?xml version="1.0" encoding="utf-8"?>
<sst xmlns="http://schemas.openxmlformats.org/spreadsheetml/2006/main" count="57" uniqueCount="46">
  <si>
    <t>Unity</t>
    <phoneticPr fontId="1" type="noConversion"/>
  </si>
  <si>
    <t>DUO</t>
    <phoneticPr fontId="1" type="noConversion"/>
  </si>
  <si>
    <t>Cerberus</t>
    <phoneticPr fontId="1" type="noConversion"/>
  </si>
  <si>
    <t>HBM4</t>
    <phoneticPr fontId="1" type="noConversion"/>
  </si>
  <si>
    <t>DUO</t>
  </si>
  <si>
    <t>Unity</t>
  </si>
  <si>
    <t>(ref. Fine-grained DRAM: energy-efficient DRAM for extreme bandwidth systems)</t>
    <phoneticPr fontId="1" type="noConversion"/>
  </si>
  <si>
    <t>HBM</t>
  </si>
  <si>
    <t>Cerberus(32)</t>
  </si>
  <si>
    <t>Cerberus(40)</t>
  </si>
  <si>
    <t>Read</t>
    <phoneticPr fontId="1" type="noConversion"/>
  </si>
  <si>
    <t>Cell</t>
  </si>
  <si>
    <t>HBM2</t>
    <phoneticPr fontId="1" type="noConversion"/>
  </si>
  <si>
    <t>Chip_stack</t>
    <phoneticPr fontId="1" type="noConversion"/>
  </si>
  <si>
    <t>(1)</t>
    <phoneticPr fontId="1" type="noConversion"/>
  </si>
  <si>
    <t>row_act</t>
    <phoneticPr fontId="1" type="noConversion"/>
  </si>
  <si>
    <t>Interposer</t>
    <phoneticPr fontId="1" type="noConversion"/>
  </si>
  <si>
    <t>(2)</t>
    <phoneticPr fontId="1" type="noConversion"/>
  </si>
  <si>
    <t>chip_tr</t>
    <phoneticPr fontId="1" type="noConversion"/>
  </si>
  <si>
    <t>(3)</t>
    <phoneticPr fontId="1" type="noConversion"/>
  </si>
  <si>
    <t>stack_tr</t>
    <phoneticPr fontId="1" type="noConversion"/>
  </si>
  <si>
    <t>(4)</t>
    <phoneticPr fontId="1" type="noConversion"/>
  </si>
  <si>
    <t>interposer</t>
    <phoneticPr fontId="1" type="noConversion"/>
  </si>
  <si>
    <t xml:space="preserve">DRAM </t>
    <phoneticPr fontId="1" type="noConversion"/>
  </si>
  <si>
    <t>Cerberus_40</t>
    <phoneticPr fontId="1" type="noConversion"/>
  </si>
  <si>
    <t>IDD0</t>
    <phoneticPr fontId="1" type="noConversion"/>
  </si>
  <si>
    <t>IDD2N</t>
    <phoneticPr fontId="1" type="noConversion"/>
  </si>
  <si>
    <t>IDD3N</t>
    <phoneticPr fontId="1" type="noConversion"/>
  </si>
  <si>
    <t>IDD4R</t>
    <phoneticPr fontId="1" type="noConversion"/>
  </si>
  <si>
    <t>IDD4W</t>
    <phoneticPr fontId="1" type="noConversion"/>
  </si>
  <si>
    <t>1. Calculation of energy consumption ratio by HBM section based on energy component decomposition</t>
    <phoneticPr fontId="1" type="noConversion"/>
  </si>
  <si>
    <t>OD-ECC</t>
    <phoneticPr fontId="1" type="noConversion"/>
  </si>
  <si>
    <t>OD-ECC, S-ECC</t>
    <phoneticPr fontId="1" type="noConversion"/>
  </si>
  <si>
    <t>* Row activation energy was normalized assuming an average of 576 bits are processed per act.</t>
    <phoneticPr fontId="1" type="noConversion"/>
  </si>
  <si>
    <t>3. Calculate the each storage/transfer bit numbers of each scheme.</t>
    <phoneticPr fontId="1" type="noConversion"/>
  </si>
  <si>
    <t>4. Calculate the current component of each scheme.</t>
    <phoneticPr fontId="1" type="noConversion"/>
  </si>
  <si>
    <t>*All IPP + IDD + IDDQ values are added together and normalized to the number of pseudo-channels (32).</t>
    <phoneticPr fontId="1" type="noConversion"/>
  </si>
  <si>
    <t>(ref. Samsung Electronics, 16Gb HBM Flashbolt, 2021)</t>
    <phoneticPr fontId="1" type="noConversion"/>
  </si>
  <si>
    <t>2. Calculate the current component of HBM4 (HBM-3600).</t>
    <phoneticPr fontId="1" type="noConversion"/>
  </si>
  <si>
    <t>IPP</t>
    <phoneticPr fontId="1" type="noConversion"/>
  </si>
  <si>
    <t>IDD</t>
    <phoneticPr fontId="1" type="noConversion"/>
  </si>
  <si>
    <t>IDDQ</t>
    <phoneticPr fontId="1" type="noConversion"/>
  </si>
  <si>
    <t>unit</t>
    <phoneticPr fontId="1" type="noConversion"/>
  </si>
  <si>
    <t>mA</t>
    <phoneticPr fontId="1" type="noConversion"/>
  </si>
  <si>
    <t>%</t>
    <phoneticPr fontId="1" type="noConversion"/>
  </si>
  <si>
    <t>note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</si>
</sst>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/>
      <right/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4" borderId="0" xfId="0" applyFill="1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4" xfId="0" applyFill="1" applyBorder="1">
      <alignment vertical="center"/>
    </xf>
    <xf numFmtId="0" fontId="0" fillId="0" borderId="5" xfId="0" applyBorder="1">
      <alignment vertical="center"/>
    </xf>
    <xf numFmtId="0" fontId="0" fillId="5" borderId="0" xfId="0" applyFill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 quotePrefix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0" xfId="0" quotePrefix="1" applyAlignment="1">
      <alignment horizontal="center"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15421</xdr:colOff>
      <xdr:row>3</xdr:row>
      <xdr:rowOff>154215</xdr:rowOff>
    </xdr:from>
    <xdr:to>
      <xdr:col>13</xdr:col>
      <xdr:colOff>88301</xdr:colOff>
      <xdr:row>15</xdr:row>
      <xdr:rowOff>17016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FBE86DD-125E-462D-A10C-FE1C0E68E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50921" y="807358"/>
          <a:ext cx="4046166" cy="2475372"/>
        </a:xfrm>
        <a:prstGeom prst="rect">
          <a:avLst/>
        </a:prstGeom>
      </xdr:spPr>
    </xdr:pic>
    <xdr:clientData/>
  </xdr:twoCellAnchor>
  <xdr:twoCellAnchor editAs="oneCell">
    <xdr:from>
      <xdr:col>0</xdr:col>
      <xdr:colOff>346529</xdr:colOff>
      <xdr:row>11</xdr:row>
      <xdr:rowOff>39914</xdr:rowOff>
    </xdr:from>
    <xdr:to>
      <xdr:col>6</xdr:col>
      <xdr:colOff>135380</xdr:colOff>
      <xdr:row>18</xdr:row>
      <xdr:rowOff>188931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8268413-0C0C-433E-93AE-53468C29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29" y="2434771"/>
          <a:ext cx="4238388" cy="16730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E4471-F440-437F-AA3E-59FAF3FA6D38}">
  <dimension ref="B2:I43"/>
  <sheetViews>
    <sheetView tabSelected="1" zoomScale="70" zoomScaleNormal="70" workbookViewId="0">
      <selection activeCell="Q25" sqref="Q25"/>
    </sheetView>
  </sheetViews>
  <sheetFormatPr defaultRowHeight="16.899999999999999" x14ac:dyDescent="0.6"/>
  <cols>
    <col min="6" max="6" width="15.1875" customWidth="1"/>
    <col min="7" max="7" width="12.25" customWidth="1"/>
  </cols>
  <sheetData>
    <row r="2" spans="2:9" x14ac:dyDescent="0.6">
      <c r="B2" s="1" t="s">
        <v>30</v>
      </c>
    </row>
    <row r="3" spans="2:9" x14ac:dyDescent="0.6">
      <c r="B3" t="s">
        <v>6</v>
      </c>
    </row>
    <row r="5" spans="2:9" x14ac:dyDescent="0.6">
      <c r="C5" s="12" t="s">
        <v>10</v>
      </c>
    </row>
    <row r="6" spans="2:9" x14ac:dyDescent="0.6">
      <c r="C6" s="5"/>
      <c r="D6" s="26" t="s">
        <v>12</v>
      </c>
      <c r="E6" s="27" t="s">
        <v>44</v>
      </c>
      <c r="F6" s="7" t="s">
        <v>45</v>
      </c>
    </row>
    <row r="7" spans="2:9" x14ac:dyDescent="0.6">
      <c r="B7" s="17" t="s">
        <v>14</v>
      </c>
      <c r="C7" s="12" t="s">
        <v>15</v>
      </c>
      <c r="D7" s="7">
        <f>909/((256+32)*2)</f>
        <v>1.578125</v>
      </c>
      <c r="E7" s="6">
        <f>D7/(D7+D8+D9+D10)</f>
        <v>0.3119980229828247</v>
      </c>
      <c r="F7" t="s">
        <v>32</v>
      </c>
    </row>
    <row r="8" spans="2:9" x14ac:dyDescent="0.6">
      <c r="B8" s="17" t="s">
        <v>17</v>
      </c>
      <c r="C8" s="12" t="s">
        <v>18</v>
      </c>
      <c r="D8">
        <v>1.51</v>
      </c>
      <c r="E8" s="6">
        <f>D8/(D7+D8+D9+D10)</f>
        <v>0.29852959347584335</v>
      </c>
      <c r="F8" t="s">
        <v>32</v>
      </c>
    </row>
    <row r="9" spans="2:9" x14ac:dyDescent="0.6">
      <c r="B9" s="17" t="s">
        <v>19</v>
      </c>
      <c r="C9" s="12" t="s">
        <v>20</v>
      </c>
      <c r="D9">
        <v>1.17</v>
      </c>
      <c r="E9" s="6">
        <f>D9/(D7+D8+D9+D10)</f>
        <v>0.23131100951439518</v>
      </c>
      <c r="F9" t="s">
        <v>31</v>
      </c>
      <c r="I9" s="21"/>
    </row>
    <row r="10" spans="2:9" x14ac:dyDescent="0.6">
      <c r="B10" s="17" t="s">
        <v>21</v>
      </c>
      <c r="C10" s="12" t="s">
        <v>22</v>
      </c>
      <c r="D10">
        <v>0.8</v>
      </c>
      <c r="E10" s="6">
        <f>D10/(D7+D8+D9+D10)</f>
        <v>0.15816137402693689</v>
      </c>
      <c r="F10" t="s">
        <v>31</v>
      </c>
      <c r="I10" s="21"/>
    </row>
    <row r="11" spans="2:9" x14ac:dyDescent="0.6">
      <c r="I11" s="7"/>
    </row>
    <row r="12" spans="2:9" x14ac:dyDescent="0.6">
      <c r="I12" s="21"/>
    </row>
    <row r="13" spans="2:9" x14ac:dyDescent="0.6">
      <c r="H13" s="21"/>
      <c r="I13" s="21"/>
    </row>
    <row r="20" spans="2:7" x14ac:dyDescent="0.6">
      <c r="B20" t="s">
        <v>33</v>
      </c>
    </row>
    <row r="22" spans="2:7" x14ac:dyDescent="0.6">
      <c r="B22" s="1" t="s">
        <v>38</v>
      </c>
    </row>
    <row r="23" spans="2:7" x14ac:dyDescent="0.6">
      <c r="B23" t="s">
        <v>36</v>
      </c>
    </row>
    <row r="24" spans="2:7" x14ac:dyDescent="0.6">
      <c r="B24" t="s">
        <v>37</v>
      </c>
    </row>
    <row r="25" spans="2:7" x14ac:dyDescent="0.6">
      <c r="C25" s="6" t="s">
        <v>39</v>
      </c>
      <c r="D25" s="6" t="s">
        <v>40</v>
      </c>
      <c r="E25" s="6" t="s">
        <v>41</v>
      </c>
      <c r="F25" s="6" t="s">
        <v>42</v>
      </c>
    </row>
    <row r="26" spans="2:7" x14ac:dyDescent="0.6">
      <c r="B26" s="22" t="s">
        <v>25</v>
      </c>
      <c r="C26">
        <v>109</v>
      </c>
      <c r="D26">
        <v>1017</v>
      </c>
      <c r="E26">
        <v>396</v>
      </c>
      <c r="F26" s="25" t="s">
        <v>43</v>
      </c>
    </row>
    <row r="27" spans="2:7" x14ac:dyDescent="0.6">
      <c r="B27" s="23" t="s">
        <v>26</v>
      </c>
      <c r="C27">
        <v>53</v>
      </c>
      <c r="D27">
        <v>993</v>
      </c>
      <c r="E27">
        <v>390</v>
      </c>
      <c r="F27" s="25" t="s">
        <v>43</v>
      </c>
    </row>
    <row r="28" spans="2:7" x14ac:dyDescent="0.6">
      <c r="B28" s="24" t="s">
        <v>27</v>
      </c>
      <c r="C28">
        <v>57</v>
      </c>
      <c r="D28">
        <v>1009</v>
      </c>
      <c r="E28">
        <v>465</v>
      </c>
      <c r="F28" s="25" t="s">
        <v>43</v>
      </c>
    </row>
    <row r="29" spans="2:7" x14ac:dyDescent="0.6">
      <c r="B29" s="2" t="s">
        <v>28</v>
      </c>
      <c r="C29">
        <v>93</v>
      </c>
      <c r="D29">
        <v>10044</v>
      </c>
      <c r="E29">
        <v>6686</v>
      </c>
      <c r="F29" s="25" t="s">
        <v>43</v>
      </c>
    </row>
    <row r="30" spans="2:7" x14ac:dyDescent="0.6">
      <c r="B30" s="5" t="s">
        <v>29</v>
      </c>
      <c r="C30">
        <v>79</v>
      </c>
      <c r="D30">
        <v>8987</v>
      </c>
      <c r="E30">
        <v>2718</v>
      </c>
      <c r="F30" s="25" t="s">
        <v>43</v>
      </c>
    </row>
    <row r="31" spans="2:7" x14ac:dyDescent="0.6">
      <c r="B31" s="1" t="s">
        <v>34</v>
      </c>
    </row>
    <row r="32" spans="2:7" x14ac:dyDescent="0.6">
      <c r="B32" s="8"/>
      <c r="C32" s="9" t="s">
        <v>5</v>
      </c>
      <c r="D32" s="9" t="s">
        <v>4</v>
      </c>
      <c r="E32" s="10" t="s">
        <v>7</v>
      </c>
      <c r="F32" s="9" t="s">
        <v>8</v>
      </c>
      <c r="G32" s="11" t="s">
        <v>9</v>
      </c>
    </row>
    <row r="33" spans="2:7" x14ac:dyDescent="0.6">
      <c r="B33" s="13" t="s">
        <v>11</v>
      </c>
      <c r="C33" s="14">
        <v>288</v>
      </c>
      <c r="D33" s="15">
        <v>304</v>
      </c>
      <c r="E33" s="15">
        <v>304</v>
      </c>
      <c r="F33" s="15">
        <v>288</v>
      </c>
      <c r="G33" s="16">
        <v>296</v>
      </c>
    </row>
    <row r="34" spans="2:7" x14ac:dyDescent="0.6">
      <c r="B34" s="13" t="s">
        <v>13</v>
      </c>
      <c r="C34" s="4">
        <v>288</v>
      </c>
      <c r="D34">
        <v>304</v>
      </c>
      <c r="E34">
        <v>272</v>
      </c>
      <c r="F34">
        <v>288</v>
      </c>
      <c r="G34" s="3">
        <v>296</v>
      </c>
    </row>
    <row r="35" spans="2:7" x14ac:dyDescent="0.6">
      <c r="B35" s="13" t="s">
        <v>16</v>
      </c>
      <c r="C35" s="18">
        <v>288</v>
      </c>
      <c r="D35" s="19">
        <v>304</v>
      </c>
      <c r="E35" s="19">
        <v>272</v>
      </c>
      <c r="F35" s="19">
        <v>288</v>
      </c>
      <c r="G35" s="20">
        <v>296</v>
      </c>
    </row>
    <row r="37" spans="2:7" x14ac:dyDescent="0.6">
      <c r="B37" s="1" t="s">
        <v>35</v>
      </c>
    </row>
    <row r="38" spans="2:7" x14ac:dyDescent="0.6">
      <c r="B38" s="28" t="s">
        <v>23</v>
      </c>
      <c r="C38" s="28" t="s">
        <v>0</v>
      </c>
      <c r="D38" s="28" t="s">
        <v>1</v>
      </c>
      <c r="E38" s="28" t="s">
        <v>3</v>
      </c>
      <c r="F38" s="28" t="s">
        <v>2</v>
      </c>
      <c r="G38" s="28" t="s">
        <v>24</v>
      </c>
    </row>
    <row r="39" spans="2:7" x14ac:dyDescent="0.6">
      <c r="B39" s="22" t="s">
        <v>25</v>
      </c>
      <c r="C39">
        <f>(C33/E33)*(E39-E40)+E40</f>
        <v>47.421052631578945</v>
      </c>
      <c r="D39">
        <f>(D33/E33)*(E39-E40)+E40</f>
        <v>47.5625</v>
      </c>
      <c r="E39">
        <f>(109+1017+396)/32</f>
        <v>47.5625</v>
      </c>
      <c r="F39">
        <f>(F33/E33)*(E39-E40)+E40</f>
        <v>47.421052631578945</v>
      </c>
      <c r="G39">
        <f>(G33/E33)*(E39-E40)+E40</f>
        <v>47.491776315789473</v>
      </c>
    </row>
    <row r="40" spans="2:7" x14ac:dyDescent="0.6">
      <c r="B40" s="23" t="s">
        <v>26</v>
      </c>
      <c r="C40">
        <f>E40</f>
        <v>44.875</v>
      </c>
      <c r="D40">
        <f>E40</f>
        <v>44.875</v>
      </c>
      <c r="E40">
        <f>(53+993+390)/32</f>
        <v>44.875</v>
      </c>
      <c r="F40">
        <f>E40</f>
        <v>44.875</v>
      </c>
      <c r="G40">
        <f>E40</f>
        <v>44.875</v>
      </c>
    </row>
    <row r="41" spans="2:7" x14ac:dyDescent="0.6">
      <c r="B41" s="24" t="s">
        <v>27</v>
      </c>
      <c r="C41">
        <f>(C33/E33)*(E41-E40)+E40</f>
        <v>47.6875</v>
      </c>
      <c r="D41">
        <f>(D33/E33)*(E41-E40)+E40</f>
        <v>47.84375</v>
      </c>
      <c r="E41">
        <f>(57+1009+465)/32</f>
        <v>47.84375</v>
      </c>
      <c r="F41">
        <f>(F33/E33)*(E41-E40)+E40</f>
        <v>47.6875</v>
      </c>
      <c r="G41">
        <f>(G33/E33)*(E41-E40)+E40</f>
        <v>47.765625</v>
      </c>
    </row>
    <row r="42" spans="2:7" x14ac:dyDescent="0.6">
      <c r="B42" s="2" t="s">
        <v>28</v>
      </c>
      <c r="C42">
        <f>((C33/E33)*(E42-E40)*(E7+E8)+(C34/E34)*(E42-E40)*(E9+E10))+E40</f>
        <v>521.28397991097313</v>
      </c>
      <c r="D42">
        <f>((D33/E33)*(E42-E40)*(E7+E8)+(D34/E34)*(E42-E40)*(E9+E10))+E40</f>
        <v>547.75114546158261</v>
      </c>
      <c r="E42">
        <f>(93+10044+6686)/32</f>
        <v>525.71875</v>
      </c>
      <c r="F42">
        <f>((F33/E33)*(E42-E40)*(E7+E8)+(F34/E34)*(E42-E40)*(E9+E10))+E40</f>
        <v>521.28397991097313</v>
      </c>
      <c r="G42">
        <f>((G33/E33)*(E42-E40)*(E7+E8)+(G34/E34)*(E42-E40)*(E9+E10))+E40</f>
        <v>534.51756268627787</v>
      </c>
    </row>
    <row r="43" spans="2:7" x14ac:dyDescent="0.6">
      <c r="B43" s="5" t="s">
        <v>29</v>
      </c>
      <c r="C43">
        <f>((C33/E33)*(E43-E40)*(E7+E8)+(C34/E34)*(E43-E40)*(E9+E10))+E40</f>
        <v>365.26754722289911</v>
      </c>
      <c r="D43">
        <f>((D33/E33)*(E43-E40)*(E7+E8)+(D34/E34)*(E43-E40)*(E9+E10))+E40</f>
        <v>383.06713317972691</v>
      </c>
      <c r="E43">
        <f>(79+8987+2718)/32</f>
        <v>368.25</v>
      </c>
      <c r="F43">
        <f>((F33/E33)*(E43-E40)*(E7+E8)+(F34/E34)*(E43-E40)*(E9+E10))+E40</f>
        <v>365.26754722289911</v>
      </c>
      <c r="G43">
        <f>((G33/E33)*(E43-E40)*(E7+E8)+(G34/E34)*(E43-E40)*(E9+E10))+E40</f>
        <v>374.16734020131304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Power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최보열</dc:creator>
  <cp:lastModifiedBy>김준환</cp:lastModifiedBy>
  <dcterms:created xsi:type="dcterms:W3CDTF">2024-11-28T16:45:02Z</dcterms:created>
  <dcterms:modified xsi:type="dcterms:W3CDTF">2026-04-07T01:53:54Z</dcterms:modified>
</cp:coreProperties>
</file>