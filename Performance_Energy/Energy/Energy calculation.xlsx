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659c667e12135e6/Desktop/Cerberus_ISCA26/YOCO_extend/미팅용 ppt/26_2월/"/>
    </mc:Choice>
  </mc:AlternateContent>
  <xr:revisionPtr revIDLastSave="876" documentId="8_{B0D6370F-03AB-4BEC-BBB6-9ADDD974C23C}" xr6:coauthVersionLast="47" xr6:coauthVersionMax="47" xr10:uidLastSave="{B70C2D98-B0F1-48F2-AFD3-BA1131FDC72F}"/>
  <bookViews>
    <workbookView xWindow="15890" yWindow="3090" windowWidth="20970" windowHeight="17200" activeTab="1" xr2:uid="{BB165EBD-5F11-4706-8137-800AF3303D38}"/>
  </bookViews>
  <sheets>
    <sheet name="Power calculation" sheetId="12" r:id="rId1"/>
    <sheet name="Unity" sheetId="8" r:id="rId2"/>
    <sheet name="DUO" sheetId="6" r:id="rId3"/>
    <sheet name="HBM4" sheetId="7" r:id="rId4"/>
    <sheet name="Cerberus_32b" sheetId="9" r:id="rId5"/>
    <sheet name="Cerberus_40b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4" i="8" l="1"/>
  <c r="N75" i="9"/>
  <c r="N74" i="9"/>
  <c r="N73" i="9"/>
  <c r="N72" i="9"/>
  <c r="N71" i="9"/>
  <c r="N70" i="9"/>
  <c r="N69" i="9"/>
  <c r="N68" i="9"/>
  <c r="N67" i="9"/>
  <c r="N66" i="9"/>
  <c r="N65" i="9"/>
  <c r="N64" i="9"/>
  <c r="N63" i="9"/>
  <c r="N62" i="9"/>
  <c r="N61" i="9"/>
  <c r="N60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AR60" i="9" l="1"/>
  <c r="E43" i="12" l="1"/>
  <c r="E42" i="12"/>
  <c r="E41" i="12"/>
  <c r="E40" i="12"/>
  <c r="D40" i="12" s="1"/>
  <c r="C40" i="12"/>
  <c r="E39" i="12"/>
  <c r="G39" i="12" s="1"/>
  <c r="D39" i="12"/>
  <c r="C39" i="12"/>
  <c r="D7" i="12"/>
  <c r="E7" i="12" s="1"/>
  <c r="G15" i="10"/>
  <c r="G14" i="10" s="1"/>
  <c r="P5" i="10" s="1"/>
  <c r="P13" i="10"/>
  <c r="G13" i="10"/>
  <c r="P12" i="10"/>
  <c r="P11" i="10"/>
  <c r="G11" i="10"/>
  <c r="G12" i="10" s="1"/>
  <c r="P6" i="10" s="1"/>
  <c r="P10" i="10"/>
  <c r="P14" i="10" s="1"/>
  <c r="D8" i="10"/>
  <c r="P16" i="10" s="1"/>
  <c r="P7" i="10"/>
  <c r="P10" i="6"/>
  <c r="P14" i="6" s="1"/>
  <c r="G15" i="9"/>
  <c r="G14" i="9" s="1"/>
  <c r="P13" i="9"/>
  <c r="G13" i="9"/>
  <c r="P12" i="9"/>
  <c r="P16" i="9" s="1"/>
  <c r="P11" i="9"/>
  <c r="G11" i="9"/>
  <c r="P7" i="9" s="1"/>
  <c r="P10" i="9"/>
  <c r="P14" i="9" s="1"/>
  <c r="D8" i="9"/>
  <c r="G15" i="8"/>
  <c r="G14" i="8"/>
  <c r="P5" i="8" s="1"/>
  <c r="P13" i="8"/>
  <c r="G13" i="8"/>
  <c r="P12" i="8"/>
  <c r="P16" i="8" s="1"/>
  <c r="P11" i="8"/>
  <c r="P15" i="8" s="1"/>
  <c r="G11" i="8"/>
  <c r="P7" i="8" s="1"/>
  <c r="P10" i="8"/>
  <c r="P14" i="8" s="1"/>
  <c r="D8" i="8"/>
  <c r="G15" i="7"/>
  <c r="G14" i="7" s="1"/>
  <c r="P13" i="7"/>
  <c r="G13" i="7"/>
  <c r="P12" i="7"/>
  <c r="P11" i="7"/>
  <c r="G11" i="7"/>
  <c r="G12" i="7" s="1"/>
  <c r="P10" i="7"/>
  <c r="P14" i="7" s="1"/>
  <c r="D8" i="7"/>
  <c r="G15" i="6"/>
  <c r="G14" i="6" s="1"/>
  <c r="P13" i="6"/>
  <c r="G13" i="6"/>
  <c r="P12" i="6"/>
  <c r="P16" i="6" s="1"/>
  <c r="P11" i="6"/>
  <c r="G11" i="6"/>
  <c r="G12" i="6" s="1"/>
  <c r="D8" i="6"/>
  <c r="P15" i="7" l="1"/>
  <c r="P16" i="7"/>
  <c r="E10" i="12"/>
  <c r="F41" i="12"/>
  <c r="F39" i="12"/>
  <c r="F40" i="12"/>
  <c r="G40" i="12"/>
  <c r="C41" i="12"/>
  <c r="D41" i="12"/>
  <c r="G41" i="12"/>
  <c r="N61" i="10"/>
  <c r="N68" i="10"/>
  <c r="P6" i="7"/>
  <c r="N62" i="10"/>
  <c r="P4" i="10"/>
  <c r="N70" i="10"/>
  <c r="N71" i="10"/>
  <c r="N74" i="10"/>
  <c r="N66" i="10"/>
  <c r="N65" i="10"/>
  <c r="N60" i="10"/>
  <c r="N64" i="10"/>
  <c r="N72" i="10"/>
  <c r="N63" i="10"/>
  <c r="N73" i="10"/>
  <c r="N75" i="10"/>
  <c r="N69" i="10"/>
  <c r="N67" i="10"/>
  <c r="AH69" i="10"/>
  <c r="AH70" i="10"/>
  <c r="AH71" i="10"/>
  <c r="AH62" i="10"/>
  <c r="AH74" i="10"/>
  <c r="AH66" i="10"/>
  <c r="AH60" i="10"/>
  <c r="AH65" i="10"/>
  <c r="AH67" i="10"/>
  <c r="AH61" i="10"/>
  <c r="AH75" i="10"/>
  <c r="AH63" i="10"/>
  <c r="AH73" i="10"/>
  <c r="AH64" i="10"/>
  <c r="AH68" i="10"/>
  <c r="AH72" i="10"/>
  <c r="D75" i="10"/>
  <c r="D64" i="10"/>
  <c r="D68" i="10"/>
  <c r="D73" i="10"/>
  <c r="D63" i="10"/>
  <c r="D74" i="10"/>
  <c r="D69" i="10"/>
  <c r="D60" i="10"/>
  <c r="D62" i="10"/>
  <c r="D65" i="10"/>
  <c r="D66" i="10"/>
  <c r="D70" i="10"/>
  <c r="D61" i="10"/>
  <c r="D71" i="10"/>
  <c r="D72" i="10"/>
  <c r="D67" i="10"/>
  <c r="P15" i="10"/>
  <c r="D68" i="8"/>
  <c r="D67" i="8"/>
  <c r="D66" i="8"/>
  <c r="D64" i="8"/>
  <c r="D63" i="8"/>
  <c r="D62" i="8"/>
  <c r="D61" i="8"/>
  <c r="D60" i="8"/>
  <c r="P6" i="6"/>
  <c r="P7" i="7"/>
  <c r="D65" i="8"/>
  <c r="P15" i="9"/>
  <c r="G12" i="8"/>
  <c r="P6" i="8" s="1"/>
  <c r="N68" i="7"/>
  <c r="P7" i="6"/>
  <c r="P15" i="6"/>
  <c r="P4" i="8"/>
  <c r="G12" i="9"/>
  <c r="P6" i="9" s="1"/>
  <c r="AH66" i="8"/>
  <c r="AH74" i="8"/>
  <c r="AH60" i="8"/>
  <c r="P4" i="9"/>
  <c r="P5" i="9"/>
  <c r="AH68" i="8"/>
  <c r="AH73" i="8"/>
  <c r="AH71" i="8"/>
  <c r="AH72" i="8"/>
  <c r="AH69" i="8"/>
  <c r="AH61" i="8"/>
  <c r="AH63" i="8"/>
  <c r="AH70" i="8"/>
  <c r="AH75" i="8"/>
  <c r="AH62" i="8"/>
  <c r="AH65" i="8"/>
  <c r="AH67" i="8"/>
  <c r="AH64" i="8"/>
  <c r="D75" i="8"/>
  <c r="D74" i="8"/>
  <c r="D70" i="8"/>
  <c r="D72" i="8"/>
  <c r="D69" i="8"/>
  <c r="D71" i="8"/>
  <c r="D73" i="8"/>
  <c r="P5" i="7"/>
  <c r="P4" i="7"/>
  <c r="P5" i="6"/>
  <c r="P4" i="6"/>
  <c r="X60" i="6" s="1"/>
  <c r="N73" i="7" l="1"/>
  <c r="N63" i="7"/>
  <c r="N64" i="7"/>
  <c r="N75" i="7"/>
  <c r="N74" i="7"/>
  <c r="N65" i="7"/>
  <c r="N66" i="7"/>
  <c r="N60" i="7"/>
  <c r="N71" i="7"/>
  <c r="N61" i="7"/>
  <c r="N67" i="7"/>
  <c r="N70" i="7"/>
  <c r="N72" i="7"/>
  <c r="N62" i="7"/>
  <c r="N69" i="7"/>
  <c r="N75" i="6"/>
  <c r="N74" i="6"/>
  <c r="N70" i="6"/>
  <c r="N66" i="6"/>
  <c r="N64" i="6"/>
  <c r="N71" i="6"/>
  <c r="N62" i="6"/>
  <c r="N68" i="6"/>
  <c r="N60" i="6"/>
  <c r="N69" i="6"/>
  <c r="N65" i="6"/>
  <c r="N72" i="6"/>
  <c r="N63" i="6"/>
  <c r="N61" i="6"/>
  <c r="N73" i="6"/>
  <c r="N67" i="6"/>
  <c r="D68" i="7"/>
  <c r="X69" i="10"/>
  <c r="X61" i="10"/>
  <c r="X64" i="10"/>
  <c r="X66" i="10"/>
  <c r="X71" i="10"/>
  <c r="X68" i="10"/>
  <c r="X60" i="10"/>
  <c r="X62" i="10"/>
  <c r="X67" i="10"/>
  <c r="X72" i="10"/>
  <c r="X70" i="10"/>
  <c r="X74" i="10"/>
  <c r="X63" i="10"/>
  <c r="X65" i="10"/>
  <c r="X73" i="10"/>
  <c r="X75" i="10"/>
  <c r="X64" i="8"/>
  <c r="D65" i="7"/>
  <c r="D70" i="7"/>
  <c r="D61" i="7"/>
  <c r="D64" i="7"/>
  <c r="D75" i="7"/>
  <c r="D69" i="7"/>
  <c r="D71" i="7"/>
  <c r="D66" i="7"/>
  <c r="D73" i="7"/>
  <c r="X61" i="8"/>
  <c r="X63" i="8"/>
  <c r="X74" i="8"/>
  <c r="X71" i="8"/>
  <c r="X75" i="8"/>
  <c r="X70" i="8"/>
  <c r="X67" i="8"/>
  <c r="X72" i="8"/>
  <c r="X66" i="8"/>
  <c r="D72" i="7"/>
  <c r="D63" i="7"/>
  <c r="D67" i="7"/>
  <c r="D62" i="7"/>
  <c r="D74" i="7"/>
  <c r="D60" i="7"/>
  <c r="X62" i="8"/>
  <c r="X65" i="8"/>
  <c r="D72" i="6"/>
  <c r="D71" i="6"/>
  <c r="D70" i="6"/>
  <c r="N70" i="8"/>
  <c r="N62" i="8"/>
  <c r="N75" i="8"/>
  <c r="N66" i="8"/>
  <c r="N64" i="8"/>
  <c r="N65" i="8"/>
  <c r="N68" i="8"/>
  <c r="N71" i="8"/>
  <c r="N74" i="8"/>
  <c r="N73" i="8"/>
  <c r="N63" i="8"/>
  <c r="N61" i="8"/>
  <c r="N72" i="8"/>
  <c r="N60" i="8"/>
  <c r="N67" i="8"/>
  <c r="N69" i="8"/>
  <c r="D60" i="6"/>
  <c r="D68" i="6"/>
  <c r="D61" i="6"/>
  <c r="D67" i="6"/>
  <c r="D74" i="6"/>
  <c r="D66" i="6"/>
  <c r="D75" i="6"/>
  <c r="D69" i="6"/>
  <c r="D62" i="6"/>
  <c r="D64" i="6"/>
  <c r="D65" i="6"/>
  <c r="D63" i="6"/>
  <c r="D73" i="6"/>
  <c r="X69" i="8"/>
  <c r="X68" i="8"/>
  <c r="X60" i="8"/>
  <c r="X73" i="8"/>
  <c r="AH72" i="9"/>
  <c r="X69" i="9"/>
  <c r="X74" i="9"/>
  <c r="X63" i="9"/>
  <c r="X72" i="9"/>
  <c r="X75" i="9"/>
  <c r="X67" i="9"/>
  <c r="X66" i="9"/>
  <c r="AH66" i="9"/>
  <c r="X68" i="9"/>
  <c r="AR68" i="9" s="1"/>
  <c r="AH60" i="9"/>
  <c r="X64" i="9"/>
  <c r="X70" i="9"/>
  <c r="X60" i="9"/>
  <c r="AH75" i="9"/>
  <c r="AH70" i="9"/>
  <c r="X62" i="9"/>
  <c r="AH61" i="9"/>
  <c r="X65" i="9"/>
  <c r="X71" i="9"/>
  <c r="AR71" i="9" s="1"/>
  <c r="AH63" i="9"/>
  <c r="AH67" i="9"/>
  <c r="AH73" i="9"/>
  <c r="AH64" i="9"/>
  <c r="AH62" i="9"/>
  <c r="AH65" i="9"/>
  <c r="X61" i="9"/>
  <c r="AR61" i="9" s="1"/>
  <c r="X73" i="9"/>
  <c r="AR73" i="9" s="1"/>
  <c r="AH69" i="9"/>
  <c r="AH68" i="9"/>
  <c r="AH74" i="9"/>
  <c r="AH71" i="9"/>
  <c r="X73" i="7"/>
  <c r="X67" i="7"/>
  <c r="X70" i="7"/>
  <c r="X65" i="7"/>
  <c r="X71" i="7"/>
  <c r="X62" i="7"/>
  <c r="X63" i="7"/>
  <c r="X68" i="7"/>
  <c r="X64" i="7"/>
  <c r="X69" i="7"/>
  <c r="X72" i="7"/>
  <c r="X60" i="7"/>
  <c r="X61" i="7"/>
  <c r="X75" i="7"/>
  <c r="X66" i="7"/>
  <c r="X74" i="7"/>
  <c r="AH71" i="7"/>
  <c r="AH70" i="7"/>
  <c r="AH63" i="7"/>
  <c r="AH62" i="7"/>
  <c r="AH61" i="7"/>
  <c r="AH60" i="7"/>
  <c r="AH65" i="7"/>
  <c r="AH75" i="7"/>
  <c r="AH68" i="7"/>
  <c r="AH74" i="7"/>
  <c r="AH69" i="7"/>
  <c r="AH67" i="7"/>
  <c r="AH72" i="7"/>
  <c r="AH64" i="7"/>
  <c r="AH73" i="7"/>
  <c r="AH66" i="7"/>
  <c r="X72" i="6"/>
  <c r="X74" i="6"/>
  <c r="X64" i="6"/>
  <c r="X69" i="6"/>
  <c r="X71" i="6"/>
  <c r="X66" i="6"/>
  <c r="X67" i="6"/>
  <c r="X65" i="6"/>
  <c r="X62" i="6"/>
  <c r="X68" i="6"/>
  <c r="X61" i="6"/>
  <c r="X63" i="6"/>
  <c r="X75" i="6"/>
  <c r="X73" i="6"/>
  <c r="X70" i="6"/>
  <c r="AH69" i="6"/>
  <c r="AH72" i="6"/>
  <c r="AH74" i="6"/>
  <c r="AH60" i="6"/>
  <c r="AH61" i="6"/>
  <c r="AH67" i="6"/>
  <c r="AH70" i="6"/>
  <c r="AH73" i="6"/>
  <c r="AH68" i="6"/>
  <c r="AH65" i="6"/>
  <c r="AH63" i="6"/>
  <c r="AH71" i="6"/>
  <c r="AH75" i="6"/>
  <c r="AH64" i="6"/>
  <c r="AH66" i="6"/>
  <c r="AH62" i="6"/>
  <c r="AR75" i="9" l="1"/>
  <c r="AR74" i="9"/>
  <c r="AR72" i="9"/>
  <c r="AR70" i="9"/>
  <c r="AR69" i="9"/>
  <c r="AR67" i="9"/>
  <c r="AR66" i="9"/>
  <c r="AR65" i="9"/>
  <c r="AR64" i="9"/>
  <c r="AR62" i="9"/>
  <c r="AR63" i="9"/>
  <c r="AR61" i="10"/>
  <c r="AR74" i="10"/>
  <c r="AR67" i="10"/>
  <c r="AR71" i="10"/>
  <c r="AR62" i="10"/>
  <c r="AR65" i="10"/>
  <c r="AR72" i="10"/>
  <c r="AR75" i="10"/>
  <c r="AR66" i="10"/>
  <c r="AR60" i="10"/>
  <c r="AR69" i="10"/>
  <c r="AR68" i="10"/>
  <c r="AR70" i="10"/>
  <c r="AR73" i="10"/>
  <c r="AR63" i="10"/>
  <c r="AR64" i="10"/>
  <c r="AR69" i="7"/>
  <c r="AR65" i="7"/>
  <c r="AR71" i="7"/>
  <c r="AR70" i="7"/>
  <c r="AR73" i="7"/>
  <c r="AR67" i="7"/>
  <c r="AR72" i="7"/>
  <c r="AR73" i="8"/>
  <c r="AR71" i="8"/>
  <c r="AR70" i="8"/>
  <c r="AR67" i="8"/>
  <c r="AR65" i="8"/>
  <c r="AR75" i="7"/>
  <c r="AR64" i="7"/>
  <c r="AR61" i="7"/>
  <c r="AR60" i="7"/>
  <c r="AR74" i="7"/>
  <c r="AR75" i="8"/>
  <c r="AR74" i="8"/>
  <c r="AR72" i="8"/>
  <c r="AR66" i="8"/>
  <c r="AR64" i="8"/>
  <c r="AR60" i="8"/>
  <c r="AR61" i="8"/>
  <c r="AR63" i="8"/>
  <c r="AR62" i="8"/>
  <c r="AR68" i="7"/>
  <c r="AR62" i="7"/>
  <c r="AR66" i="7"/>
  <c r="AR63" i="7"/>
  <c r="AR68" i="8"/>
  <c r="AR69" i="8"/>
  <c r="AR62" i="6"/>
  <c r="AR66" i="6"/>
  <c r="AR75" i="6"/>
  <c r="AR64" i="6"/>
  <c r="AR65" i="6"/>
  <c r="AR74" i="6"/>
  <c r="AR63" i="6"/>
  <c r="AR72" i="6"/>
  <c r="AR67" i="6"/>
  <c r="AR68" i="6"/>
  <c r="AR61" i="6"/>
  <c r="AR69" i="6"/>
  <c r="AR60" i="6"/>
  <c r="AR70" i="6"/>
  <c r="AR73" i="6"/>
  <c r="AR71" i="6"/>
  <c r="E8" i="12" l="1"/>
  <c r="E9" i="12"/>
  <c r="F43" i="12" s="1"/>
  <c r="G42" i="12" l="1"/>
  <c r="C42" i="12"/>
  <c r="D43" i="12"/>
  <c r="D42" i="12"/>
  <c r="C43" i="12"/>
  <c r="F42" i="12"/>
  <c r="G43" i="12"/>
</calcChain>
</file>

<file path=xl/sharedStrings.xml><?xml version="1.0" encoding="utf-8"?>
<sst xmlns="http://schemas.openxmlformats.org/spreadsheetml/2006/main" count="2137" uniqueCount="126">
  <si>
    <t>Timing (ns)</t>
  </si>
  <si>
    <t>Current (mA)</t>
  </si>
  <si>
    <t>Voltage (V)</t>
  </si>
  <si>
    <t>Arch.</t>
  </si>
  <si>
    <t>Cmd_Energy (V*mA*ns = 10^-12 J)</t>
  </si>
  <si>
    <t>t_CK</t>
  </si>
  <si>
    <t>IDD0</t>
  </si>
  <si>
    <t>VDD</t>
  </si>
  <si>
    <t>BL</t>
  </si>
  <si>
    <t>E_RD</t>
    <phoneticPr fontId="1" type="noConversion"/>
  </si>
  <si>
    <t>t_RAS</t>
  </si>
  <si>
    <t>IDD1</t>
  </si>
  <si>
    <t>DR</t>
  </si>
  <si>
    <t>E_WR</t>
  </si>
  <si>
    <t>t_RP</t>
  </si>
  <si>
    <t>IDD2N</t>
  </si>
  <si>
    <t>Rho1</t>
  </si>
  <si>
    <t>E_ACT</t>
  </si>
  <si>
    <t>t_RC</t>
  </si>
  <si>
    <t>IDD3N</t>
  </si>
  <si>
    <t>Rho2</t>
  </si>
  <si>
    <t>E_PRE</t>
  </si>
  <si>
    <t>t_WCK</t>
  </si>
  <si>
    <t>IDD4R</t>
  </si>
  <si>
    <t>Rho3</t>
  </si>
  <si>
    <t>IDD4W</t>
  </si>
  <si>
    <t>B</t>
  </si>
  <si>
    <t>Micron Power</t>
  </si>
  <si>
    <t>P_ACT</t>
  </si>
  <si>
    <t>I_Beta</t>
  </si>
  <si>
    <t>P_RD</t>
  </si>
  <si>
    <t>I_Theta</t>
  </si>
  <si>
    <t>P_WR</t>
  </si>
  <si>
    <t>I_1</t>
  </si>
  <si>
    <t>P_Background</t>
    <phoneticPr fontId="1" type="noConversion"/>
  </si>
  <si>
    <t>I_i</t>
  </si>
  <si>
    <t>I_rho</t>
  </si>
  <si>
    <t>E_RD</t>
  </si>
  <si>
    <t>rodinia</t>
  </si>
  <si>
    <t>nw</t>
  </si>
  <si>
    <t>b+tree</t>
  </si>
  <si>
    <t>backprop</t>
  </si>
  <si>
    <t>dwt2d</t>
  </si>
  <si>
    <t>bfs</t>
  </si>
  <si>
    <t>srad_v1</t>
  </si>
  <si>
    <t>parboil</t>
  </si>
  <si>
    <t>sgemm</t>
  </si>
  <si>
    <t>mri-q</t>
  </si>
  <si>
    <t>spmv</t>
  </si>
  <si>
    <t>graphBIG</t>
  </si>
  <si>
    <t>gpu_DegreeCentr</t>
  </si>
  <si>
    <t>gpu_BFS</t>
  </si>
  <si>
    <t>gpu_SSSP</t>
  </si>
  <si>
    <t>gpu_kCore</t>
  </si>
  <si>
    <t>polybench</t>
  </si>
  <si>
    <t>ATAX</t>
  </si>
  <si>
    <t>MVT</t>
  </si>
  <si>
    <t>3DCONV</t>
  </si>
  <si>
    <t>&lt;N_PRE&gt;</t>
    <phoneticPr fontId="1" type="noConversion"/>
  </si>
  <si>
    <t>&lt;N_ACT&gt;</t>
    <phoneticPr fontId="1" type="noConversion"/>
  </si>
  <si>
    <t>&lt;N_RD&gt;</t>
    <phoneticPr fontId="1" type="noConversion"/>
  </si>
  <si>
    <t>&lt;N_WR&gt;</t>
    <phoneticPr fontId="1" type="noConversion"/>
  </si>
  <si>
    <t>&lt;E_PRE&gt;</t>
    <phoneticPr fontId="1" type="noConversion"/>
  </si>
  <si>
    <t>&lt;E_ACT&gt;</t>
    <phoneticPr fontId="1" type="noConversion"/>
  </si>
  <si>
    <t>&lt;E_RD&gt;</t>
    <phoneticPr fontId="1" type="noConversion"/>
  </si>
  <si>
    <t>&lt;E_WR&gt;</t>
    <phoneticPr fontId="1" type="noConversion"/>
  </si>
  <si>
    <t>&lt;E_Total&gt;</t>
    <phoneticPr fontId="1" type="noConversion"/>
  </si>
  <si>
    <t>PRE</t>
    <phoneticPr fontId="1" type="noConversion"/>
  </si>
  <si>
    <t>ACT</t>
    <phoneticPr fontId="1" type="noConversion"/>
  </si>
  <si>
    <t>RD</t>
    <phoneticPr fontId="1" type="noConversion"/>
  </si>
  <si>
    <t>WR</t>
    <phoneticPr fontId="1" type="noConversion"/>
  </si>
  <si>
    <t>Unity</t>
    <phoneticPr fontId="1" type="noConversion"/>
  </si>
  <si>
    <t>DUO</t>
    <phoneticPr fontId="1" type="noConversion"/>
  </si>
  <si>
    <t>Cerberus</t>
    <phoneticPr fontId="1" type="noConversion"/>
  </si>
  <si>
    <t>gpu_kCore</t>
    <phoneticPr fontId="1" type="noConversion"/>
  </si>
  <si>
    <t>HBM4</t>
    <phoneticPr fontId="1" type="noConversion"/>
  </si>
  <si>
    <t>DUO</t>
  </si>
  <si>
    <t>Unity</t>
  </si>
  <si>
    <t>HBM4</t>
  </si>
  <si>
    <t>(ref. Fine-grained DRAM: energy-efficient DRAM for extreme bandwidth systems)</t>
    <phoneticPr fontId="1" type="noConversion"/>
  </si>
  <si>
    <t>HBM</t>
  </si>
  <si>
    <t>Cerberus(32)</t>
  </si>
  <si>
    <t>Cerberus(40)</t>
  </si>
  <si>
    <t>Read</t>
    <phoneticPr fontId="1" type="noConversion"/>
  </si>
  <si>
    <t>Cell</t>
  </si>
  <si>
    <t>HBM2</t>
    <phoneticPr fontId="1" type="noConversion"/>
  </si>
  <si>
    <t>% 값</t>
    <phoneticPr fontId="1" type="noConversion"/>
  </si>
  <si>
    <t>Chip_stack</t>
    <phoneticPr fontId="1" type="noConversion"/>
  </si>
  <si>
    <t>(1)</t>
    <phoneticPr fontId="1" type="noConversion"/>
  </si>
  <si>
    <t>row_act</t>
    <phoneticPr fontId="1" type="noConversion"/>
  </si>
  <si>
    <t>Interposer</t>
    <phoneticPr fontId="1" type="noConversion"/>
  </si>
  <si>
    <t>(2)</t>
    <phoneticPr fontId="1" type="noConversion"/>
  </si>
  <si>
    <t>chip_tr</t>
    <phoneticPr fontId="1" type="noConversion"/>
  </si>
  <si>
    <t>(3)</t>
    <phoneticPr fontId="1" type="noConversion"/>
  </si>
  <si>
    <t>stack_tr</t>
    <phoneticPr fontId="1" type="noConversion"/>
  </si>
  <si>
    <t>(4)</t>
    <phoneticPr fontId="1" type="noConversion"/>
  </si>
  <si>
    <t>interposer</t>
    <phoneticPr fontId="1" type="noConversion"/>
  </si>
  <si>
    <t xml:space="preserve">DRAM </t>
    <phoneticPr fontId="1" type="noConversion"/>
  </si>
  <si>
    <t>Cerberus_40</t>
    <phoneticPr fontId="1" type="noConversion"/>
  </si>
  <si>
    <t>IDD0</t>
    <phoneticPr fontId="1" type="noConversion"/>
  </si>
  <si>
    <t>IDD2N</t>
    <phoneticPr fontId="1" type="noConversion"/>
  </si>
  <si>
    <t>IDD3N</t>
    <phoneticPr fontId="1" type="noConversion"/>
  </si>
  <si>
    <t>IDD4R</t>
    <phoneticPr fontId="1" type="noConversion"/>
  </si>
  <si>
    <t>IDD4W</t>
    <phoneticPr fontId="1" type="noConversion"/>
  </si>
  <si>
    <t>1. Calculation of energy consumption ratio by HBM section based on energy component decomposition</t>
    <phoneticPr fontId="1" type="noConversion"/>
  </si>
  <si>
    <t>비고</t>
    <phoneticPr fontId="1" type="noConversion"/>
  </si>
  <si>
    <t>OD-ECC</t>
    <phoneticPr fontId="1" type="noConversion"/>
  </si>
  <si>
    <t>OD-ECC, S-ECC</t>
    <phoneticPr fontId="1" type="noConversion"/>
  </si>
  <si>
    <t>* Row activation energy was normalized assuming an average of 576 bits are processed per act.</t>
    <phoneticPr fontId="1" type="noConversion"/>
  </si>
  <si>
    <t>3. Calculate the each storage/transfer bit numbers of each scheme.</t>
    <phoneticPr fontId="1" type="noConversion"/>
  </si>
  <si>
    <t>4. Calculate the current component of each scheme.</t>
    <phoneticPr fontId="1" type="noConversion"/>
  </si>
  <si>
    <t>*All IPP + IDD + IDDQ values are added together and normalized to the number of pseudo-channels (32).</t>
    <phoneticPr fontId="1" type="noConversion"/>
  </si>
  <si>
    <t>(ref. Samsung Electronics, 16Gb HBM Flashbolt, 2021)</t>
    <phoneticPr fontId="1" type="noConversion"/>
  </si>
  <si>
    <t>2. Calculate the current component of HBM4 (HBM-3600).</t>
    <phoneticPr fontId="1" type="noConversion"/>
  </si>
  <si>
    <t>IPP</t>
    <phoneticPr fontId="1" type="noConversion"/>
  </si>
  <si>
    <t>IDD</t>
    <phoneticPr fontId="1" type="noConversion"/>
  </si>
  <si>
    <t>IDDQ</t>
    <phoneticPr fontId="1" type="noConversion"/>
  </si>
  <si>
    <t>unit</t>
    <phoneticPr fontId="1" type="noConversion"/>
  </si>
  <si>
    <t>mA</t>
    <phoneticPr fontId="1" type="noConversion"/>
  </si>
  <si>
    <t>Cerberus_32b</t>
    <phoneticPr fontId="1" type="noConversion"/>
  </si>
  <si>
    <t>&lt;Normalized with IPC&gt;</t>
  </si>
  <si>
    <t>gpu_DC</t>
    <phoneticPr fontId="6" type="noConversion"/>
  </si>
  <si>
    <t/>
  </si>
  <si>
    <t>Geomean</t>
    <phoneticPr fontId="6" type="noConversion"/>
  </si>
  <si>
    <t>Cerberus_40b</t>
    <phoneticPr fontId="1" type="noConversion"/>
  </si>
  <si>
    <t>&lt;Normalized with HBM4&gt;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</si>
</sst>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E+00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0000"/>
      <name val="Calibri"/>
      <family val="2"/>
    </font>
    <font>
      <sz val="11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/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0" fontId="0" fillId="0" borderId="10" xfId="0" applyBorder="1">
      <alignment vertical="center"/>
    </xf>
    <xf numFmtId="0" fontId="0" fillId="0" borderId="12" xfId="0" applyBorder="1" applyAlignment="1"/>
    <xf numFmtId="0" fontId="0" fillId="0" borderId="13" xfId="0" applyBorder="1" applyAlignment="1"/>
    <xf numFmtId="0" fontId="0" fillId="0" borderId="14" xfId="0" applyBorder="1" applyAlignment="1"/>
    <xf numFmtId="0" fontId="0" fillId="0" borderId="15" xfId="0" applyBorder="1" applyAlignment="1"/>
    <xf numFmtId="0" fontId="0" fillId="0" borderId="16" xfId="0" applyBorder="1" applyAlignment="1"/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17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3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9" xfId="0" applyBorder="1">
      <alignment vertical="center"/>
    </xf>
    <xf numFmtId="0" fontId="0" fillId="0" borderId="11" xfId="0" applyBorder="1">
      <alignment vertical="center"/>
    </xf>
    <xf numFmtId="0" fontId="0" fillId="4" borderId="0" xfId="0" applyFill="1">
      <alignment vertical="center"/>
    </xf>
    <xf numFmtId="0" fontId="0" fillId="0" borderId="14" xfId="0" applyBorder="1">
      <alignment vertical="center"/>
    </xf>
    <xf numFmtId="0" fontId="0" fillId="0" borderId="19" xfId="0" applyBorder="1">
      <alignment vertical="center"/>
    </xf>
    <xf numFmtId="0" fontId="0" fillId="0" borderId="18" xfId="0" applyBorder="1">
      <alignment vertical="center"/>
    </xf>
    <xf numFmtId="0" fontId="3" fillId="0" borderId="4" xfId="0" applyFont="1" applyBorder="1">
      <alignment vertical="center"/>
    </xf>
    <xf numFmtId="0" fontId="3" fillId="0" borderId="6" xfId="0" applyFont="1" applyBorder="1">
      <alignment vertical="center"/>
    </xf>
    <xf numFmtId="0" fontId="4" fillId="0" borderId="0" xfId="0" applyFont="1" applyAlignment="1"/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5" fillId="0" borderId="0" xfId="0" applyFont="1" applyAlignment="1">
      <alignment horizontal="right" vertical="center" readingOrder="1"/>
    </xf>
    <xf numFmtId="0" fontId="0" fillId="0" borderId="0" xfId="0" applyAlignment="1">
      <alignment horizontal="center"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2" borderId="21" xfId="0" applyFill="1" applyBorder="1">
      <alignment vertical="center"/>
    </xf>
    <xf numFmtId="0" fontId="0" fillId="0" borderId="22" xfId="0" applyBorder="1">
      <alignment vertical="center"/>
    </xf>
    <xf numFmtId="0" fontId="0" fillId="5" borderId="0" xfId="0" applyFill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6" borderId="0" xfId="0" applyFill="1" applyAlignment="1">
      <alignment horizontal="right"/>
    </xf>
    <xf numFmtId="0" fontId="0" fillId="0" borderId="0" xfId="0" quotePrefix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0" xfId="0" quotePrefix="1" applyAlignment="1">
      <alignment horizontal="center" vertical="center"/>
    </xf>
    <xf numFmtId="0" fontId="0" fillId="7" borderId="0" xfId="0" applyFill="1">
      <alignment vertical="center"/>
    </xf>
    <xf numFmtId="0" fontId="0" fillId="8" borderId="0" xfId="0" applyFill="1">
      <alignment vertical="center"/>
    </xf>
    <xf numFmtId="0" fontId="0" fillId="6" borderId="0" xfId="0" applyFill="1">
      <alignment vertical="center"/>
    </xf>
    <xf numFmtId="0" fontId="0" fillId="0" borderId="0" xfId="0" applyAlignment="1">
      <alignment horizontal="right" vertical="center"/>
    </xf>
    <xf numFmtId="0" fontId="0" fillId="0" borderId="30" xfId="0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3" fillId="0" borderId="0" xfId="0" applyFont="1">
      <alignment vertical="center"/>
    </xf>
    <xf numFmtId="0" fontId="5" fillId="0" borderId="13" xfId="0" applyFont="1" applyBorder="1" applyAlignment="1"/>
    <xf numFmtId="176" fontId="0" fillId="0" borderId="13" xfId="0" applyNumberFormat="1" applyBorder="1" applyAlignment="1"/>
    <xf numFmtId="0" fontId="5" fillId="0" borderId="16" xfId="0" applyFont="1" applyBorder="1" applyAlignment="1"/>
    <xf numFmtId="11" fontId="0" fillId="0" borderId="13" xfId="0" applyNumberFormat="1" applyBorder="1" applyAlignment="1"/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0" fontId="0" fillId="9" borderId="16" xfId="0" applyFill="1" applyBorder="1" applyAlignment="1"/>
    <xf numFmtId="0" fontId="0" fillId="0" borderId="15" xfId="0" applyBorder="1" applyAlignment="1">
      <alignment horizontal="center"/>
    </xf>
    <xf numFmtId="0" fontId="0" fillId="9" borderId="0" xfId="0" applyFill="1" applyAlignment="1"/>
    <xf numFmtId="0" fontId="0" fillId="9" borderId="15" xfId="0" applyFill="1" applyBorder="1" applyAlignment="1"/>
    <xf numFmtId="0" fontId="0" fillId="9" borderId="10" xfId="0" applyFill="1" applyBorder="1" applyAlignment="1"/>
    <xf numFmtId="0" fontId="0" fillId="9" borderId="11" xfId="0" applyFill="1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15421</xdr:colOff>
      <xdr:row>3</xdr:row>
      <xdr:rowOff>154215</xdr:rowOff>
    </xdr:from>
    <xdr:to>
      <xdr:col>13</xdr:col>
      <xdr:colOff>88301</xdr:colOff>
      <xdr:row>15</xdr:row>
      <xdr:rowOff>17016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1FBE86DD-125E-462D-A10C-FE1C0E68E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50921" y="807358"/>
          <a:ext cx="4046166" cy="2475372"/>
        </a:xfrm>
        <a:prstGeom prst="rect">
          <a:avLst/>
        </a:prstGeom>
      </xdr:spPr>
    </xdr:pic>
    <xdr:clientData/>
  </xdr:twoCellAnchor>
  <xdr:twoCellAnchor editAs="oneCell">
    <xdr:from>
      <xdr:col>0</xdr:col>
      <xdr:colOff>346529</xdr:colOff>
      <xdr:row>11</xdr:row>
      <xdr:rowOff>39914</xdr:rowOff>
    </xdr:from>
    <xdr:to>
      <xdr:col>6</xdr:col>
      <xdr:colOff>611631</xdr:colOff>
      <xdr:row>18</xdr:row>
      <xdr:rowOff>188931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C8268413-0C0C-433E-93AE-53468C2906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6529" y="2434771"/>
          <a:ext cx="4238388" cy="16730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</xdr:row>
      <xdr:rowOff>0</xdr:rowOff>
    </xdr:from>
    <xdr:to>
      <xdr:col>23</xdr:col>
      <xdr:colOff>76137</xdr:colOff>
      <xdr:row>20</xdr:row>
      <xdr:rowOff>97302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9A385AC4-E395-4014-9DA2-491F9E808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47700" y="222250"/>
          <a:ext cx="4159187" cy="42719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</xdr:row>
      <xdr:rowOff>0</xdr:rowOff>
    </xdr:from>
    <xdr:to>
      <xdr:col>23</xdr:col>
      <xdr:colOff>76136</xdr:colOff>
      <xdr:row>20</xdr:row>
      <xdr:rowOff>98904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DD05FA1C-BE1C-4205-A66B-B0CB705878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47700" y="222250"/>
          <a:ext cx="4159187" cy="42719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</xdr:row>
      <xdr:rowOff>0</xdr:rowOff>
    </xdr:from>
    <xdr:to>
      <xdr:col>23</xdr:col>
      <xdr:colOff>76137</xdr:colOff>
      <xdr:row>20</xdr:row>
      <xdr:rowOff>97302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E91E2C46-4760-46D0-9FFA-DDD36F2F8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47700" y="222250"/>
          <a:ext cx="4159187" cy="42719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</xdr:row>
      <xdr:rowOff>0</xdr:rowOff>
    </xdr:from>
    <xdr:to>
      <xdr:col>23</xdr:col>
      <xdr:colOff>76136</xdr:colOff>
      <xdr:row>20</xdr:row>
      <xdr:rowOff>97302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5C62EECF-86AA-4A3B-BD37-AC32BD0A39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47700" y="222250"/>
          <a:ext cx="4159187" cy="42719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1</xdr:row>
      <xdr:rowOff>0</xdr:rowOff>
    </xdr:from>
    <xdr:to>
      <xdr:col>23</xdr:col>
      <xdr:colOff>76136</xdr:colOff>
      <xdr:row>20</xdr:row>
      <xdr:rowOff>97302</xdr:rowOff>
    </xdr:to>
    <xdr:pic>
      <xdr:nvPicPr>
        <xdr:cNvPr id="2" name="그림 2">
          <a:extLst>
            <a:ext uri="{FF2B5EF4-FFF2-40B4-BE49-F238E27FC236}">
              <a16:creationId xmlns:a16="http://schemas.microsoft.com/office/drawing/2014/main" id="{83C9FA47-586C-41F2-9AAD-703E9A5EC1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85800" y="222250"/>
          <a:ext cx="4159186" cy="4271974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E4471-F440-437F-AA3E-59FAF3FA6D38}">
  <dimension ref="B2:I43"/>
  <sheetViews>
    <sheetView zoomScale="55" zoomScaleNormal="55" workbookViewId="0">
      <selection activeCell="I33" sqref="I33"/>
    </sheetView>
  </sheetViews>
  <sheetFormatPr defaultRowHeight="17" x14ac:dyDescent="0.45"/>
  <sheetData>
    <row r="2" spans="2:9" x14ac:dyDescent="0.45">
      <c r="B2" s="10" t="s">
        <v>104</v>
      </c>
    </row>
    <row r="3" spans="2:9" x14ac:dyDescent="0.45">
      <c r="B3" t="s">
        <v>79</v>
      </c>
    </row>
    <row r="5" spans="2:9" x14ac:dyDescent="0.45">
      <c r="C5" s="42" t="s">
        <v>83</v>
      </c>
    </row>
    <row r="6" spans="2:9" x14ac:dyDescent="0.45">
      <c r="C6" s="34"/>
      <c r="D6" s="34" t="s">
        <v>85</v>
      </c>
      <c r="E6" s="47" t="s">
        <v>86</v>
      </c>
      <c r="F6" s="56" t="s">
        <v>105</v>
      </c>
    </row>
    <row r="7" spans="2:9" x14ac:dyDescent="0.45">
      <c r="B7" s="48" t="s">
        <v>88</v>
      </c>
      <c r="C7" s="42" t="s">
        <v>89</v>
      </c>
      <c r="D7" s="37">
        <f>909/((256+32)*2)</f>
        <v>1.578125</v>
      </c>
      <c r="E7" s="35">
        <f>D7/(D7+D8+D9+D10)</f>
        <v>0.3119980229828247</v>
      </c>
      <c r="F7" t="s">
        <v>107</v>
      </c>
    </row>
    <row r="8" spans="2:9" x14ac:dyDescent="0.45">
      <c r="B8" s="48" t="s">
        <v>91</v>
      </c>
      <c r="C8" s="42" t="s">
        <v>92</v>
      </c>
      <c r="D8">
        <v>1.51</v>
      </c>
      <c r="E8" s="35">
        <f>D8/(D7+D8+D9+D10)</f>
        <v>0.29852959347584335</v>
      </c>
      <c r="F8" t="s">
        <v>107</v>
      </c>
    </row>
    <row r="9" spans="2:9" x14ac:dyDescent="0.45">
      <c r="B9" s="48" t="s">
        <v>93</v>
      </c>
      <c r="C9" s="42" t="s">
        <v>94</v>
      </c>
      <c r="D9">
        <v>1.17</v>
      </c>
      <c r="E9" s="35">
        <f>D9/(D7+D8+D9+D10)</f>
        <v>0.23131100951439518</v>
      </c>
      <c r="F9" t="s">
        <v>106</v>
      </c>
      <c r="I9" s="52"/>
    </row>
    <row r="10" spans="2:9" x14ac:dyDescent="0.45">
      <c r="B10" s="48" t="s">
        <v>95</v>
      </c>
      <c r="C10" s="42" t="s">
        <v>96</v>
      </c>
      <c r="D10">
        <v>0.8</v>
      </c>
      <c r="E10" s="35">
        <f>D10/(D7+D8+D9+D10)</f>
        <v>0.15816137402693689</v>
      </c>
      <c r="F10" t="s">
        <v>106</v>
      </c>
      <c r="I10" s="52"/>
    </row>
    <row r="11" spans="2:9" x14ac:dyDescent="0.45">
      <c r="I11" s="37"/>
    </row>
    <row r="12" spans="2:9" x14ac:dyDescent="0.45">
      <c r="I12" s="52"/>
    </row>
    <row r="13" spans="2:9" x14ac:dyDescent="0.45">
      <c r="H13" s="52"/>
      <c r="I13" s="52"/>
    </row>
    <row r="20" spans="2:7" x14ac:dyDescent="0.45">
      <c r="B20" t="s">
        <v>108</v>
      </c>
    </row>
    <row r="22" spans="2:7" x14ac:dyDescent="0.45">
      <c r="B22" s="10" t="s">
        <v>113</v>
      </c>
    </row>
    <row r="23" spans="2:7" x14ac:dyDescent="0.45">
      <c r="B23" t="s">
        <v>111</v>
      </c>
    </row>
    <row r="24" spans="2:7" x14ac:dyDescent="0.45">
      <c r="B24" t="s">
        <v>112</v>
      </c>
    </row>
    <row r="25" spans="2:7" x14ac:dyDescent="0.45">
      <c r="C25" s="35" t="s">
        <v>114</v>
      </c>
      <c r="D25" s="35" t="s">
        <v>115</v>
      </c>
      <c r="E25" s="35" t="s">
        <v>116</v>
      </c>
      <c r="F25" s="35" t="s">
        <v>117</v>
      </c>
    </row>
    <row r="26" spans="2:7" x14ac:dyDescent="0.45">
      <c r="B26" s="53" t="s">
        <v>99</v>
      </c>
      <c r="C26">
        <v>109</v>
      </c>
      <c r="D26">
        <v>1017</v>
      </c>
      <c r="E26">
        <v>396</v>
      </c>
      <c r="F26" s="56" t="s">
        <v>118</v>
      </c>
    </row>
    <row r="27" spans="2:7" x14ac:dyDescent="0.45">
      <c r="B27" s="54" t="s">
        <v>100</v>
      </c>
      <c r="C27">
        <v>53</v>
      </c>
      <c r="D27">
        <v>993</v>
      </c>
      <c r="E27">
        <v>390</v>
      </c>
      <c r="F27" s="56" t="s">
        <v>118</v>
      </c>
    </row>
    <row r="28" spans="2:7" x14ac:dyDescent="0.45">
      <c r="B28" s="55" t="s">
        <v>101</v>
      </c>
      <c r="C28">
        <v>57</v>
      </c>
      <c r="D28">
        <v>1009</v>
      </c>
      <c r="E28">
        <v>465</v>
      </c>
      <c r="F28" s="56" t="s">
        <v>118</v>
      </c>
    </row>
    <row r="29" spans="2:7" x14ac:dyDescent="0.45">
      <c r="B29" s="27" t="s">
        <v>102</v>
      </c>
      <c r="C29">
        <v>93</v>
      </c>
      <c r="D29">
        <v>10044</v>
      </c>
      <c r="E29">
        <v>6686</v>
      </c>
      <c r="F29" s="56" t="s">
        <v>118</v>
      </c>
    </row>
    <row r="30" spans="2:7" x14ac:dyDescent="0.45">
      <c r="B30" s="34" t="s">
        <v>103</v>
      </c>
      <c r="C30">
        <v>79</v>
      </c>
      <c r="D30">
        <v>8987</v>
      </c>
      <c r="E30">
        <v>2718</v>
      </c>
      <c r="F30" s="56" t="s">
        <v>118</v>
      </c>
    </row>
    <row r="31" spans="2:7" x14ac:dyDescent="0.45">
      <c r="B31" s="10" t="s">
        <v>109</v>
      </c>
    </row>
    <row r="32" spans="2:7" x14ac:dyDescent="0.45">
      <c r="B32" s="38"/>
      <c r="C32" s="39" t="s">
        <v>77</v>
      </c>
      <c r="D32" s="39" t="s">
        <v>76</v>
      </c>
      <c r="E32" s="40" t="s">
        <v>80</v>
      </c>
      <c r="F32" s="39" t="s">
        <v>81</v>
      </c>
      <c r="G32" s="41" t="s">
        <v>82</v>
      </c>
    </row>
    <row r="33" spans="2:7" x14ac:dyDescent="0.45">
      <c r="B33" s="43" t="s">
        <v>84</v>
      </c>
      <c r="C33" s="44">
        <v>288</v>
      </c>
      <c r="D33" s="45">
        <v>304</v>
      </c>
      <c r="E33" s="45">
        <v>304</v>
      </c>
      <c r="F33" s="45">
        <v>288</v>
      </c>
      <c r="G33" s="46">
        <v>296</v>
      </c>
    </row>
    <row r="34" spans="2:7" x14ac:dyDescent="0.45">
      <c r="B34" s="43" t="s">
        <v>87</v>
      </c>
      <c r="C34" s="30">
        <v>288</v>
      </c>
      <c r="D34">
        <v>304</v>
      </c>
      <c r="E34">
        <v>272</v>
      </c>
      <c r="F34">
        <v>288</v>
      </c>
      <c r="G34" s="29">
        <v>296</v>
      </c>
    </row>
    <row r="35" spans="2:7" x14ac:dyDescent="0.45">
      <c r="B35" s="43" t="s">
        <v>90</v>
      </c>
      <c r="C35" s="49">
        <v>288</v>
      </c>
      <c r="D35" s="50">
        <v>304</v>
      </c>
      <c r="E35" s="50">
        <v>272</v>
      </c>
      <c r="F35" s="50">
        <v>288</v>
      </c>
      <c r="G35" s="51">
        <v>296</v>
      </c>
    </row>
    <row r="37" spans="2:7" x14ac:dyDescent="0.45">
      <c r="B37" s="10" t="s">
        <v>110</v>
      </c>
    </row>
    <row r="38" spans="2:7" x14ac:dyDescent="0.45">
      <c r="B38" s="35" t="s">
        <v>97</v>
      </c>
      <c r="C38" s="35" t="s">
        <v>71</v>
      </c>
      <c r="D38" s="35" t="s">
        <v>72</v>
      </c>
      <c r="E38" s="35" t="s">
        <v>75</v>
      </c>
      <c r="F38" s="35" t="s">
        <v>73</v>
      </c>
      <c r="G38" s="35" t="s">
        <v>98</v>
      </c>
    </row>
    <row r="39" spans="2:7" x14ac:dyDescent="0.45">
      <c r="B39" s="53" t="s">
        <v>99</v>
      </c>
      <c r="C39">
        <f>(C33/E33)*(E39-E40)+E40</f>
        <v>47.421052631578945</v>
      </c>
      <c r="D39">
        <f>(D33/E33)*(E39-E40)+E40</f>
        <v>47.5625</v>
      </c>
      <c r="E39">
        <f>(109+1017+396)/32</f>
        <v>47.5625</v>
      </c>
      <c r="F39">
        <f>(F33/E33)*(E39-E40)+E40</f>
        <v>47.421052631578945</v>
      </c>
      <c r="G39">
        <f>(G33/E33)*(E39-E40)+E40</f>
        <v>47.491776315789473</v>
      </c>
    </row>
    <row r="40" spans="2:7" x14ac:dyDescent="0.45">
      <c r="B40" s="54" t="s">
        <v>100</v>
      </c>
      <c r="C40">
        <f>E40</f>
        <v>44.875</v>
      </c>
      <c r="D40">
        <f>E40</f>
        <v>44.875</v>
      </c>
      <c r="E40">
        <f>(53+993+390)/32</f>
        <v>44.875</v>
      </c>
      <c r="F40">
        <f>E40</f>
        <v>44.875</v>
      </c>
      <c r="G40">
        <f>E40</f>
        <v>44.875</v>
      </c>
    </row>
    <row r="41" spans="2:7" x14ac:dyDescent="0.45">
      <c r="B41" s="55" t="s">
        <v>101</v>
      </c>
      <c r="C41">
        <f>(C33/E33)*(E41-E40)+E40</f>
        <v>47.6875</v>
      </c>
      <c r="D41">
        <f>(D33/E33)*(E41-E40)+E40</f>
        <v>47.84375</v>
      </c>
      <c r="E41">
        <f>(57+1009+465)/32</f>
        <v>47.84375</v>
      </c>
      <c r="F41">
        <f>(F33/E33)*(E41-E40)+E40</f>
        <v>47.6875</v>
      </c>
      <c r="G41">
        <f>(G33/E33)*(E41-E40)+E40</f>
        <v>47.765625</v>
      </c>
    </row>
    <row r="42" spans="2:7" x14ac:dyDescent="0.45">
      <c r="B42" s="27" t="s">
        <v>102</v>
      </c>
      <c r="C42">
        <f>((C33/E33)*(E42-E40)*(E7+E8)+(C34/E34)*(E42-E40)*(E9+E10))+E40</f>
        <v>521.28397991097313</v>
      </c>
      <c r="D42">
        <f>((D33/E33)*(E42-E40)*(E7+E8)+(D34/E34)*(E42-E40)*(E9+E10))+E40</f>
        <v>547.75114546158261</v>
      </c>
      <c r="E42">
        <f>(93+10044+6686)/32</f>
        <v>525.71875</v>
      </c>
      <c r="F42">
        <f>((F33/E33)*(E42-E40)*(E7+E8)+(F34/E34)*(E42-E40)*(E9+E10))+E40</f>
        <v>521.28397991097313</v>
      </c>
      <c r="G42">
        <f>((G33/E33)*(E42-E40)*(E7+E8)+(G34/E34)*(E42-E40)*(E9+E10))+E40</f>
        <v>534.51756268627787</v>
      </c>
    </row>
    <row r="43" spans="2:7" x14ac:dyDescent="0.45">
      <c r="B43" s="34" t="s">
        <v>103</v>
      </c>
      <c r="C43">
        <f>((C33/E33)*(E43-E40)*(E7+E8)+(C34/E34)*(E43-E40)*(E9+E10))+E40</f>
        <v>365.26754722289911</v>
      </c>
      <c r="D43">
        <f>((D33/E33)*(E43-E40)*(E7+E8)+(D34/E34)*(E43-E40)*(E9+E10))+E40</f>
        <v>383.06713317972691</v>
      </c>
      <c r="E43">
        <f>(79+8987+2718)/32</f>
        <v>368.25</v>
      </c>
      <c r="F43">
        <f>((F33/E33)*(E43-E40)*(E7+E8)+(F34/E34)*(E43-E40)*(E9+E10))+E40</f>
        <v>365.26754722289911</v>
      </c>
      <c r="G43">
        <f>((G33/E33)*(E43-E40)*(E7+E8)+(G34/E34)*(E43-E40)*(E9+E10))+E40</f>
        <v>374.16734020131304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CF652-B617-425C-BB93-2EC98A5A72F6}">
  <dimension ref="A1:AZ330"/>
  <sheetViews>
    <sheetView tabSelected="1" zoomScale="55" zoomScaleNormal="55" workbookViewId="0">
      <selection activeCell="Q22" sqref="Q22"/>
    </sheetView>
  </sheetViews>
  <sheetFormatPr defaultRowHeight="17" x14ac:dyDescent="0.45"/>
  <cols>
    <col min="4" max="4" width="12.5" bestFit="1" customWidth="1"/>
    <col min="14" max="17" width="12.08203125" bestFit="1" customWidth="1"/>
    <col min="18" max="18" width="10.33203125" bestFit="1" customWidth="1"/>
    <col min="19" max="21" width="12.08203125" bestFit="1" customWidth="1"/>
    <col min="24" max="24" width="12.08203125" bestFit="1" customWidth="1"/>
    <col min="25" max="25" width="11.25" bestFit="1" customWidth="1"/>
    <col min="27" max="27" width="12.33203125" bestFit="1" customWidth="1"/>
    <col min="34" max="34" width="12.08203125" bestFit="1" customWidth="1"/>
    <col min="44" max="44" width="12.5" bestFit="1" customWidth="1"/>
  </cols>
  <sheetData>
    <row r="1" spans="2:17" ht="17.5" thickBot="1" x14ac:dyDescent="0.5"/>
    <row r="2" spans="2:17" ht="17.5" thickBot="1" x14ac:dyDescent="0.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spans="2:17" x14ac:dyDescent="0.45">
      <c r="B3" s="4"/>
      <c r="C3" s="1" t="s">
        <v>0</v>
      </c>
      <c r="D3" s="3"/>
      <c r="F3" s="1" t="s">
        <v>1</v>
      </c>
      <c r="G3" s="3"/>
      <c r="I3" s="1" t="s">
        <v>2</v>
      </c>
      <c r="J3" s="3"/>
      <c r="L3" s="1" t="s">
        <v>3</v>
      </c>
      <c r="M3" s="3"/>
      <c r="O3" s="1" t="s">
        <v>4</v>
      </c>
      <c r="P3" s="59"/>
      <c r="Q3" s="5"/>
    </row>
    <row r="4" spans="2:17" ht="17.5" thickBot="1" x14ac:dyDescent="0.5">
      <c r="B4" s="57"/>
      <c r="C4" t="s">
        <v>5</v>
      </c>
      <c r="D4" s="5">
        <v>0.625</v>
      </c>
      <c r="F4" s="4" t="s">
        <v>6</v>
      </c>
      <c r="G4" s="36">
        <v>47.421050000000001</v>
      </c>
      <c r="H4" s="20"/>
      <c r="I4" s="6" t="s">
        <v>7</v>
      </c>
      <c r="J4" s="7">
        <v>1.05</v>
      </c>
      <c r="L4" s="4" t="s">
        <v>8</v>
      </c>
      <c r="M4" s="5">
        <v>8</v>
      </c>
      <c r="O4" s="4" t="s">
        <v>9</v>
      </c>
      <c r="P4" s="5">
        <f>J4*(G8-G14)*(M4/M5)*D8</f>
        <v>310.15170703125</v>
      </c>
      <c r="Q4" s="5"/>
    </row>
    <row r="5" spans="2:17" x14ac:dyDescent="0.45">
      <c r="B5" s="57"/>
      <c r="C5" t="s">
        <v>10</v>
      </c>
      <c r="D5" s="5">
        <v>55</v>
      </c>
      <c r="F5" s="4" t="s">
        <v>11</v>
      </c>
      <c r="G5" s="5"/>
      <c r="H5" s="21"/>
      <c r="L5" s="4" t="s">
        <v>12</v>
      </c>
      <c r="M5" s="5">
        <v>4</v>
      </c>
      <c r="O5" s="4" t="s">
        <v>13</v>
      </c>
      <c r="P5" s="5">
        <f>J4*(G9-G14)*(M4/M5)*D8</f>
        <v>207.76587890624998</v>
      </c>
      <c r="Q5" s="5"/>
    </row>
    <row r="6" spans="2:17" x14ac:dyDescent="0.45">
      <c r="B6" s="57"/>
      <c r="C6" t="s">
        <v>14</v>
      </c>
      <c r="D6" s="5">
        <v>30</v>
      </c>
      <c r="F6" s="4" t="s">
        <v>15</v>
      </c>
      <c r="G6" s="5">
        <v>44.875</v>
      </c>
      <c r="H6" s="21"/>
      <c r="L6" s="4" t="s">
        <v>16</v>
      </c>
      <c r="M6" s="5">
        <v>0.33</v>
      </c>
      <c r="O6" s="4" t="s">
        <v>17</v>
      </c>
      <c r="P6" s="5">
        <f>J4*(G12-G13)*D5</f>
        <v>37.907190234375065</v>
      </c>
      <c r="Q6" s="5"/>
    </row>
    <row r="7" spans="2:17" ht="17.5" thickBot="1" x14ac:dyDescent="0.5">
      <c r="B7" s="57"/>
      <c r="C7" t="s">
        <v>18</v>
      </c>
      <c r="D7" s="5">
        <v>90</v>
      </c>
      <c r="F7" s="31" t="s">
        <v>19</v>
      </c>
      <c r="G7" s="5">
        <v>47.6875</v>
      </c>
      <c r="H7" s="21"/>
      <c r="K7" s="22"/>
      <c r="L7" t="s">
        <v>20</v>
      </c>
      <c r="M7" s="22">
        <v>0.65</v>
      </c>
      <c r="O7" s="6" t="s">
        <v>21</v>
      </c>
      <c r="P7" s="7">
        <f>J4*(G11-G6)*D6</f>
        <v>80.200575000000043</v>
      </c>
      <c r="Q7" s="5"/>
    </row>
    <row r="8" spans="2:17" ht="17.5" thickBot="1" x14ac:dyDescent="0.5">
      <c r="B8" s="57"/>
      <c r="C8" s="23" t="s">
        <v>22</v>
      </c>
      <c r="D8" s="7">
        <f>D4/2</f>
        <v>0.3125</v>
      </c>
      <c r="F8" s="31" t="s">
        <v>23</v>
      </c>
      <c r="G8" s="5">
        <v>521.28399999999999</v>
      </c>
      <c r="H8" s="21"/>
      <c r="L8" s="4" t="s">
        <v>24</v>
      </c>
      <c r="M8" s="5">
        <v>1</v>
      </c>
      <c r="Q8" s="5"/>
    </row>
    <row r="9" spans="2:17" ht="17.5" thickBot="1" x14ac:dyDescent="0.5">
      <c r="B9" s="4"/>
      <c r="F9" s="32" t="s">
        <v>25</v>
      </c>
      <c r="G9" s="7">
        <v>365.26749999999998</v>
      </c>
      <c r="H9" s="21"/>
      <c r="L9" s="6" t="s">
        <v>26</v>
      </c>
      <c r="M9" s="7">
        <v>16</v>
      </c>
      <c r="O9" s="1" t="s">
        <v>27</v>
      </c>
      <c r="P9" s="3"/>
      <c r="Q9" s="5"/>
    </row>
    <row r="10" spans="2:17" ht="17.5" thickBot="1" x14ac:dyDescent="0.5">
      <c r="B10" s="4"/>
      <c r="F10" s="58"/>
      <c r="O10" s="4" t="s">
        <v>28</v>
      </c>
      <c r="P10" s="5">
        <f>(G4-(G7*D5/D7+G6*(D7-D5)/D7))*J4</f>
        <v>0.86866500000000113</v>
      </c>
      <c r="Q10" s="5"/>
    </row>
    <row r="11" spans="2:17" ht="17.5" thickBot="1" x14ac:dyDescent="0.5">
      <c r="B11" s="4"/>
      <c r="E11" s="22"/>
      <c r="F11" t="s">
        <v>29</v>
      </c>
      <c r="G11" s="3">
        <f>G4</f>
        <v>47.421050000000001</v>
      </c>
      <c r="O11" s="4" t="s">
        <v>30</v>
      </c>
      <c r="P11" s="5">
        <f>(G8-G7)*J4</f>
        <v>497.27632499999999</v>
      </c>
      <c r="Q11" s="5"/>
    </row>
    <row r="12" spans="2:17" x14ac:dyDescent="0.45">
      <c r="B12" s="4"/>
      <c r="E12" s="22"/>
      <c r="F12" t="s">
        <v>31</v>
      </c>
      <c r="G12" s="5">
        <f>(G4*(D6+D5)-G11*D6)*(1/D5)</f>
        <v>47.421050000000001</v>
      </c>
      <c r="H12" s="57"/>
      <c r="I12" s="11" t="s">
        <v>67</v>
      </c>
      <c r="J12" s="11" t="s">
        <v>68</v>
      </c>
      <c r="K12" s="11" t="s">
        <v>69</v>
      </c>
      <c r="L12" s="26" t="s">
        <v>70</v>
      </c>
      <c r="N12" s="22"/>
      <c r="O12" t="s">
        <v>32</v>
      </c>
      <c r="P12" s="5">
        <f>(G9-G7)*J4</f>
        <v>333.459</v>
      </c>
      <c r="Q12" s="5"/>
    </row>
    <row r="13" spans="2:17" ht="17.5" thickBot="1" x14ac:dyDescent="0.5">
      <c r="B13" s="4"/>
      <c r="E13" s="22"/>
      <c r="F13" t="s">
        <v>33</v>
      </c>
      <c r="G13" s="5">
        <f>(1/M9)*(G7+(M9-1)*(M7*(G7-G6)+G6))</f>
        <v>46.7646484375</v>
      </c>
      <c r="H13" s="57"/>
      <c r="I13" s="28">
        <v>1.1000000000000001</v>
      </c>
      <c r="J13" s="23">
        <v>1.1000000000000001</v>
      </c>
      <c r="K13" s="23">
        <v>1.18</v>
      </c>
      <c r="L13" s="24">
        <v>1.22</v>
      </c>
      <c r="N13" s="22"/>
      <c r="O13" t="s">
        <v>34</v>
      </c>
      <c r="P13" s="5">
        <f>J4*G7</f>
        <v>50.071874999999999</v>
      </c>
      <c r="Q13" s="5"/>
    </row>
    <row r="14" spans="2:17" x14ac:dyDescent="0.45">
      <c r="B14" s="4"/>
      <c r="E14" s="22"/>
      <c r="F14" t="s">
        <v>35</v>
      </c>
      <c r="G14" s="5">
        <f>G7+G7-G15</f>
        <v>48.671875</v>
      </c>
      <c r="O14" s="4" t="s">
        <v>17</v>
      </c>
      <c r="P14" s="5">
        <f>P10*D5</f>
        <v>47.776575000000065</v>
      </c>
      <c r="Q14" s="5"/>
    </row>
    <row r="15" spans="2:17" ht="17.5" thickBot="1" x14ac:dyDescent="0.5">
      <c r="B15" s="4"/>
      <c r="E15" s="22"/>
      <c r="F15" s="28" t="s">
        <v>36</v>
      </c>
      <c r="G15" s="7">
        <f>M7*(G7-G6)+G6</f>
        <v>46.703125</v>
      </c>
      <c r="O15" s="4" t="s">
        <v>37</v>
      </c>
      <c r="P15" s="5">
        <f>P11*M4/M5*D8</f>
        <v>310.797703125</v>
      </c>
      <c r="Q15" s="5"/>
    </row>
    <row r="16" spans="2:17" ht="17.5" thickBot="1" x14ac:dyDescent="0.5">
      <c r="B16" s="4"/>
      <c r="O16" s="6" t="s">
        <v>13</v>
      </c>
      <c r="P16" s="7">
        <f>P12*M4/M5*D8</f>
        <v>208.41187500000001</v>
      </c>
      <c r="Q16" s="5"/>
    </row>
    <row r="17" spans="2:34" x14ac:dyDescent="0.45">
      <c r="B17" s="4"/>
      <c r="Q17" s="5"/>
    </row>
    <row r="18" spans="2:34" ht="17.5" thickBot="1" x14ac:dyDescent="0.5">
      <c r="B18" s="6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7"/>
    </row>
    <row r="24" spans="2:34" ht="17.5" thickBot="1" x14ac:dyDescent="0.5">
      <c r="B24" s="10" t="s">
        <v>58</v>
      </c>
      <c r="L24" s="10" t="s">
        <v>59</v>
      </c>
      <c r="V24" s="10" t="s">
        <v>60</v>
      </c>
      <c r="AF24" s="10" t="s">
        <v>61</v>
      </c>
    </row>
    <row r="25" spans="2:34" x14ac:dyDescent="0.45">
      <c r="B25" s="17"/>
      <c r="C25" s="18"/>
      <c r="D25" s="19" t="s">
        <v>71</v>
      </c>
      <c r="L25" s="17"/>
      <c r="M25" s="18"/>
      <c r="N25" s="19" t="s">
        <v>71</v>
      </c>
      <c r="V25" s="17"/>
      <c r="W25" s="18"/>
      <c r="X25" s="19" t="s">
        <v>71</v>
      </c>
      <c r="AF25" s="17"/>
      <c r="AG25" s="18"/>
      <c r="AH25" s="19" t="s">
        <v>71</v>
      </c>
    </row>
    <row r="26" spans="2:34" x14ac:dyDescent="0.45">
      <c r="B26" s="12" t="s">
        <v>38</v>
      </c>
      <c r="C26" s="9" t="s">
        <v>39</v>
      </c>
      <c r="D26" s="13">
        <v>74727345</v>
      </c>
      <c r="L26" s="12" t="s">
        <v>38</v>
      </c>
      <c r="M26" s="9" t="s">
        <v>39</v>
      </c>
      <c r="N26" s="13">
        <v>74840572</v>
      </c>
      <c r="V26" s="12" t="s">
        <v>38</v>
      </c>
      <c r="W26" s="9" t="s">
        <v>39</v>
      </c>
      <c r="X26" s="13">
        <v>193837182</v>
      </c>
      <c r="AF26" s="12" t="s">
        <v>38</v>
      </c>
      <c r="AG26" s="9" t="s">
        <v>39</v>
      </c>
      <c r="AH26" s="13">
        <v>93405215</v>
      </c>
    </row>
    <row r="27" spans="2:34" x14ac:dyDescent="0.45">
      <c r="B27" s="12" t="s">
        <v>38</v>
      </c>
      <c r="C27" s="9" t="s">
        <v>40</v>
      </c>
      <c r="D27" s="13">
        <v>118762</v>
      </c>
      <c r="L27" s="12" t="s">
        <v>38</v>
      </c>
      <c r="M27" s="9" t="s">
        <v>40</v>
      </c>
      <c r="N27" s="13">
        <v>119786</v>
      </c>
      <c r="V27" s="12" t="s">
        <v>38</v>
      </c>
      <c r="W27" s="9" t="s">
        <v>40</v>
      </c>
      <c r="X27" s="13">
        <v>1207578</v>
      </c>
      <c r="AF27" s="12" t="s">
        <v>38</v>
      </c>
      <c r="AG27" s="9" t="s">
        <v>40</v>
      </c>
      <c r="AH27" s="13">
        <v>17080</v>
      </c>
    </row>
    <row r="28" spans="2:34" x14ac:dyDescent="0.45">
      <c r="B28" s="12" t="s">
        <v>38</v>
      </c>
      <c r="C28" s="9" t="s">
        <v>41</v>
      </c>
      <c r="D28" s="13">
        <v>11194</v>
      </c>
      <c r="L28" s="12" t="s">
        <v>38</v>
      </c>
      <c r="M28" s="9" t="s">
        <v>41</v>
      </c>
      <c r="N28" s="13">
        <v>11706</v>
      </c>
      <c r="V28" s="12" t="s">
        <v>38</v>
      </c>
      <c r="W28" s="9" t="s">
        <v>41</v>
      </c>
      <c r="X28" s="13">
        <v>468164</v>
      </c>
      <c r="AF28" s="12" t="s">
        <v>38</v>
      </c>
      <c r="AG28" s="9" t="s">
        <v>41</v>
      </c>
      <c r="AH28" s="13">
        <v>173256</v>
      </c>
    </row>
    <row r="29" spans="2:34" x14ac:dyDescent="0.45">
      <c r="B29" s="12" t="s">
        <v>38</v>
      </c>
      <c r="C29" s="9" t="s">
        <v>42</v>
      </c>
      <c r="D29" s="13">
        <v>865575</v>
      </c>
      <c r="L29" s="12" t="s">
        <v>38</v>
      </c>
      <c r="M29" s="9" t="s">
        <v>42</v>
      </c>
      <c r="N29" s="13">
        <v>870679</v>
      </c>
      <c r="V29" s="12" t="s">
        <v>38</v>
      </c>
      <c r="W29" s="9" t="s">
        <v>42</v>
      </c>
      <c r="X29" s="13">
        <v>6155912</v>
      </c>
      <c r="AF29" s="12" t="s">
        <v>38</v>
      </c>
      <c r="AG29" s="9" t="s">
        <v>42</v>
      </c>
      <c r="AH29" s="13">
        <v>10629074</v>
      </c>
    </row>
    <row r="30" spans="2:34" x14ac:dyDescent="0.45">
      <c r="B30" s="12" t="s">
        <v>38</v>
      </c>
      <c r="C30" s="9" t="s">
        <v>43</v>
      </c>
      <c r="D30" s="13">
        <v>15139104</v>
      </c>
      <c r="L30" s="12" t="s">
        <v>38</v>
      </c>
      <c r="M30" s="9" t="s">
        <v>43</v>
      </c>
      <c r="N30" s="13">
        <v>15151391</v>
      </c>
      <c r="V30" s="12" t="s">
        <v>38</v>
      </c>
      <c r="W30" s="9" t="s">
        <v>43</v>
      </c>
      <c r="X30" s="13">
        <v>59150476</v>
      </c>
      <c r="AF30" s="12" t="s">
        <v>38</v>
      </c>
      <c r="AG30" s="9" t="s">
        <v>43</v>
      </c>
      <c r="AH30" s="13">
        <v>31478396</v>
      </c>
    </row>
    <row r="31" spans="2:34" x14ac:dyDescent="0.45">
      <c r="B31" s="12" t="s">
        <v>38</v>
      </c>
      <c r="C31" s="9" t="s">
        <v>44</v>
      </c>
      <c r="D31" s="13">
        <v>287044622</v>
      </c>
      <c r="L31" s="12" t="s">
        <v>38</v>
      </c>
      <c r="M31" s="9" t="s">
        <v>44</v>
      </c>
      <c r="N31" s="13">
        <v>287297192</v>
      </c>
      <c r="V31" s="12" t="s">
        <v>38</v>
      </c>
      <c r="W31" s="9" t="s">
        <v>44</v>
      </c>
      <c r="X31" s="13">
        <v>18868192</v>
      </c>
      <c r="AF31" s="12" t="s">
        <v>38</v>
      </c>
      <c r="AG31" s="9" t="s">
        <v>44</v>
      </c>
      <c r="AH31" s="13">
        <v>8452341363</v>
      </c>
    </row>
    <row r="32" spans="2:34" x14ac:dyDescent="0.45">
      <c r="B32" s="12" t="s">
        <v>45</v>
      </c>
      <c r="C32" s="9" t="s">
        <v>46</v>
      </c>
      <c r="D32" s="13">
        <v>22253</v>
      </c>
      <c r="L32" s="12" t="s">
        <v>45</v>
      </c>
      <c r="M32" s="9" t="s">
        <v>46</v>
      </c>
      <c r="N32" s="13">
        <v>22765</v>
      </c>
      <c r="V32" s="12" t="s">
        <v>45</v>
      </c>
      <c r="W32" s="9" t="s">
        <v>46</v>
      </c>
      <c r="X32" s="13">
        <v>630848</v>
      </c>
      <c r="AF32" s="12" t="s">
        <v>45</v>
      </c>
      <c r="AG32" s="9" t="s">
        <v>46</v>
      </c>
      <c r="AH32" s="13">
        <v>0</v>
      </c>
    </row>
    <row r="33" spans="2:34" x14ac:dyDescent="0.45">
      <c r="B33" s="12" t="s">
        <v>45</v>
      </c>
      <c r="C33" s="9" t="s">
        <v>47</v>
      </c>
      <c r="D33" s="13">
        <v>15320</v>
      </c>
      <c r="L33" s="12" t="s">
        <v>45</v>
      </c>
      <c r="M33" s="9" t="s">
        <v>47</v>
      </c>
      <c r="N33" s="13">
        <v>16344</v>
      </c>
      <c r="V33" s="12" t="s">
        <v>45</v>
      </c>
      <c r="W33" s="9" t="s">
        <v>47</v>
      </c>
      <c r="X33" s="13">
        <v>262144</v>
      </c>
      <c r="AF33" s="12" t="s">
        <v>45</v>
      </c>
      <c r="AG33" s="9" t="s">
        <v>47</v>
      </c>
      <c r="AH33" s="13">
        <v>0</v>
      </c>
    </row>
    <row r="34" spans="2:34" x14ac:dyDescent="0.45">
      <c r="B34" s="12" t="s">
        <v>45</v>
      </c>
      <c r="C34" s="9" t="s">
        <v>48</v>
      </c>
      <c r="D34" s="13">
        <v>127803609</v>
      </c>
      <c r="L34" s="12" t="s">
        <v>45</v>
      </c>
      <c r="M34" s="9" t="s">
        <v>48</v>
      </c>
      <c r="N34" s="13">
        <v>127829209</v>
      </c>
      <c r="V34" s="12" t="s">
        <v>45</v>
      </c>
      <c r="W34" s="9" t="s">
        <v>48</v>
      </c>
      <c r="X34" s="13">
        <v>2426773904</v>
      </c>
      <c r="AF34" s="12" t="s">
        <v>45</v>
      </c>
      <c r="AG34" s="9" t="s">
        <v>48</v>
      </c>
      <c r="AH34" s="13">
        <v>45753382</v>
      </c>
    </row>
    <row r="35" spans="2:34" x14ac:dyDescent="0.45">
      <c r="B35" s="12" t="s">
        <v>49</v>
      </c>
      <c r="C35" s="9" t="s">
        <v>50</v>
      </c>
      <c r="D35" s="13">
        <v>20335510</v>
      </c>
      <c r="L35" s="12" t="s">
        <v>49</v>
      </c>
      <c r="M35" s="9" t="s">
        <v>50</v>
      </c>
      <c r="N35" s="13">
        <v>20336022</v>
      </c>
      <c r="V35" s="12" t="s">
        <v>49</v>
      </c>
      <c r="W35" s="9" t="s">
        <v>50</v>
      </c>
      <c r="X35" s="13">
        <v>43849926</v>
      </c>
      <c r="AF35" s="12" t="s">
        <v>49</v>
      </c>
      <c r="AG35" s="9" t="s">
        <v>50</v>
      </c>
      <c r="AH35" s="13">
        <v>19954574</v>
      </c>
    </row>
    <row r="36" spans="2:34" x14ac:dyDescent="0.45">
      <c r="B36" s="12" t="s">
        <v>49</v>
      </c>
      <c r="C36" s="9" t="s">
        <v>51</v>
      </c>
      <c r="D36" s="13">
        <v>195954671</v>
      </c>
      <c r="L36" s="12" t="s">
        <v>49</v>
      </c>
      <c r="M36" s="9" t="s">
        <v>51</v>
      </c>
      <c r="N36" s="13">
        <v>195958691</v>
      </c>
      <c r="V36" s="12" t="s">
        <v>49</v>
      </c>
      <c r="W36" s="9" t="s">
        <v>51</v>
      </c>
      <c r="X36" s="13">
        <v>418242566</v>
      </c>
      <c r="AF36" s="12" t="s">
        <v>49</v>
      </c>
      <c r="AG36" s="9" t="s">
        <v>51</v>
      </c>
      <c r="AH36" s="13">
        <v>28148040</v>
      </c>
    </row>
    <row r="37" spans="2:34" x14ac:dyDescent="0.45">
      <c r="B37" s="12" t="s">
        <v>49</v>
      </c>
      <c r="C37" s="9" t="s">
        <v>52</v>
      </c>
      <c r="D37" s="13">
        <v>607624000</v>
      </c>
      <c r="L37" s="12" t="s">
        <v>49</v>
      </c>
      <c r="M37" s="9" t="s">
        <v>52</v>
      </c>
      <c r="N37" s="13">
        <v>607634170</v>
      </c>
      <c r="V37" s="12" t="s">
        <v>49</v>
      </c>
      <c r="W37" s="9" t="s">
        <v>52</v>
      </c>
      <c r="X37" s="13">
        <v>1261292290</v>
      </c>
      <c r="AF37" s="12" t="s">
        <v>49</v>
      </c>
      <c r="AG37" s="9" t="s">
        <v>52</v>
      </c>
      <c r="AH37" s="13">
        <v>63608562</v>
      </c>
    </row>
    <row r="38" spans="2:34" x14ac:dyDescent="0.45">
      <c r="B38" s="12" t="s">
        <v>49</v>
      </c>
      <c r="C38" s="9" t="s">
        <v>74</v>
      </c>
      <c r="D38" s="13">
        <v>1014308</v>
      </c>
      <c r="L38" s="12" t="s">
        <v>49</v>
      </c>
      <c r="M38" s="9" t="s">
        <v>53</v>
      </c>
      <c r="N38" s="13">
        <v>1017892</v>
      </c>
      <c r="V38" s="12" t="s">
        <v>49</v>
      </c>
      <c r="W38" s="9" t="s">
        <v>53</v>
      </c>
      <c r="X38" s="13">
        <v>10155328</v>
      </c>
      <c r="AF38" s="12" t="s">
        <v>49</v>
      </c>
      <c r="AG38" s="9" t="s">
        <v>53</v>
      </c>
      <c r="AH38" s="13">
        <v>3383898</v>
      </c>
    </row>
    <row r="39" spans="2:34" x14ac:dyDescent="0.45">
      <c r="B39" s="12" t="s">
        <v>54</v>
      </c>
      <c r="C39" s="9" t="s">
        <v>55</v>
      </c>
      <c r="D39" s="13">
        <v>4215938</v>
      </c>
      <c r="L39" s="12" t="s">
        <v>54</v>
      </c>
      <c r="M39" s="9" t="s">
        <v>55</v>
      </c>
      <c r="N39" s="13">
        <v>4216962</v>
      </c>
      <c r="V39" s="12" t="s">
        <v>54</v>
      </c>
      <c r="W39" s="9" t="s">
        <v>55</v>
      </c>
      <c r="X39" s="13">
        <v>12516152</v>
      </c>
      <c r="AF39" s="12" t="s">
        <v>54</v>
      </c>
      <c r="AG39" s="9" t="s">
        <v>55</v>
      </c>
      <c r="AH39" s="13">
        <v>1024</v>
      </c>
    </row>
    <row r="40" spans="2:34" x14ac:dyDescent="0.45">
      <c r="B40" s="12" t="s">
        <v>54</v>
      </c>
      <c r="C40" s="9" t="s">
        <v>56</v>
      </c>
      <c r="D40" s="13">
        <v>4212017</v>
      </c>
      <c r="L40" s="12" t="s">
        <v>54</v>
      </c>
      <c r="M40" s="9" t="s">
        <v>56</v>
      </c>
      <c r="N40" s="13">
        <v>4213041</v>
      </c>
      <c r="V40" s="12" t="s">
        <v>54</v>
      </c>
      <c r="W40" s="9" t="s">
        <v>56</v>
      </c>
      <c r="X40" s="13">
        <v>12519664</v>
      </c>
      <c r="AF40" s="12" t="s">
        <v>54</v>
      </c>
      <c r="AG40" s="9" t="s">
        <v>56</v>
      </c>
      <c r="AH40" s="13">
        <v>1024</v>
      </c>
    </row>
    <row r="41" spans="2:34" ht="17.5" thickBot="1" x14ac:dyDescent="0.5">
      <c r="B41" s="14" t="s">
        <v>54</v>
      </c>
      <c r="C41" s="15" t="s">
        <v>57</v>
      </c>
      <c r="D41" s="16">
        <v>15094536</v>
      </c>
      <c r="L41" s="14" t="s">
        <v>54</v>
      </c>
      <c r="M41" s="15" t="s">
        <v>57</v>
      </c>
      <c r="N41" s="16">
        <v>15224456</v>
      </c>
      <c r="V41" s="14" t="s">
        <v>54</v>
      </c>
      <c r="W41" s="15" t="s">
        <v>57</v>
      </c>
      <c r="X41" s="16">
        <v>538918912</v>
      </c>
      <c r="AF41" s="14" t="s">
        <v>54</v>
      </c>
      <c r="AG41" s="15" t="s">
        <v>57</v>
      </c>
      <c r="AH41" s="16">
        <v>481669456</v>
      </c>
    </row>
    <row r="58" spans="2:52" ht="17.5" thickBot="1" x14ac:dyDescent="0.5">
      <c r="B58" s="10" t="s">
        <v>62</v>
      </c>
      <c r="L58" s="10" t="s">
        <v>63</v>
      </c>
      <c r="V58" s="10" t="s">
        <v>64</v>
      </c>
      <c r="AF58" s="10" t="s">
        <v>65</v>
      </c>
      <c r="AP58" s="10" t="s">
        <v>66</v>
      </c>
      <c r="AZ58" s="10"/>
    </row>
    <row r="59" spans="2:52" x14ac:dyDescent="0.45">
      <c r="B59" s="17"/>
      <c r="C59" s="18"/>
      <c r="D59" s="19" t="s">
        <v>71</v>
      </c>
      <c r="L59" s="17"/>
      <c r="M59" s="18"/>
      <c r="N59" s="19" t="s">
        <v>71</v>
      </c>
      <c r="V59" s="17"/>
      <c r="W59" s="18"/>
      <c r="X59" s="19" t="s">
        <v>71</v>
      </c>
      <c r="AF59" s="17"/>
      <c r="AG59" s="18"/>
      <c r="AH59" s="19" t="s">
        <v>71</v>
      </c>
      <c r="AP59" s="17"/>
      <c r="AQ59" s="18"/>
      <c r="AR59" s="19" t="s">
        <v>71</v>
      </c>
    </row>
    <row r="60" spans="2:52" x14ac:dyDescent="0.45">
      <c r="B60" s="12" t="s">
        <v>38</v>
      </c>
      <c r="C60" s="9" t="s">
        <v>39</v>
      </c>
      <c r="D60" s="13">
        <f t="shared" ref="D60:D75" si="0">D26*$P$7</f>
        <v>5993176037.2233782</v>
      </c>
      <c r="L60" s="12" t="s">
        <v>38</v>
      </c>
      <c r="M60" s="9" t="s">
        <v>39</v>
      </c>
      <c r="N60" s="13">
        <f t="shared" ref="N60:N75" si="1">N26*$P$6</f>
        <v>2836995800.0534439</v>
      </c>
      <c r="V60" s="12" t="s">
        <v>38</v>
      </c>
      <c r="W60" s="9" t="s">
        <v>39</v>
      </c>
      <c r="X60" s="13">
        <f t="shared" ref="X60:X75" si="2">X26*$P$4</f>
        <v>60118932883.427086</v>
      </c>
      <c r="AF60" s="12" t="s">
        <v>38</v>
      </c>
      <c r="AG60" s="9" t="s">
        <v>39</v>
      </c>
      <c r="AH60" s="13">
        <f t="shared" ref="AH60:AH75" si="3">AH26*$P$5</f>
        <v>19406416588.902245</v>
      </c>
      <c r="AP60" s="12" t="s">
        <v>38</v>
      </c>
      <c r="AQ60" s="70" t="s">
        <v>39</v>
      </c>
      <c r="AR60" s="13">
        <f t="shared" ref="AR60:AR75" si="4">D60+N60+X60+AH60</f>
        <v>88355521309.60614</v>
      </c>
    </row>
    <row r="61" spans="2:52" x14ac:dyDescent="0.45">
      <c r="B61" s="12" t="s">
        <v>38</v>
      </c>
      <c r="C61" s="9" t="s">
        <v>40</v>
      </c>
      <c r="D61" s="13">
        <f t="shared" si="0"/>
        <v>9524780.6881500054</v>
      </c>
      <c r="L61" s="12" t="s">
        <v>38</v>
      </c>
      <c r="M61" s="9" t="s">
        <v>40</v>
      </c>
      <c r="N61" s="13">
        <f t="shared" si="1"/>
        <v>4540750.6894148514</v>
      </c>
      <c r="V61" s="12" t="s">
        <v>38</v>
      </c>
      <c r="W61" s="9" t="s">
        <v>40</v>
      </c>
      <c r="X61" s="13">
        <f t="shared" si="2"/>
        <v>374532378.07338279</v>
      </c>
      <c r="AF61" s="12" t="s">
        <v>38</v>
      </c>
      <c r="AG61" s="9" t="s">
        <v>40</v>
      </c>
      <c r="AH61" s="13">
        <f t="shared" si="3"/>
        <v>3548641.2117187497</v>
      </c>
      <c r="AP61" s="12" t="s">
        <v>38</v>
      </c>
      <c r="AQ61" s="70" t="s">
        <v>40</v>
      </c>
      <c r="AR61" s="13">
        <f t="shared" si="4"/>
        <v>392146550.66266638</v>
      </c>
    </row>
    <row r="62" spans="2:52" x14ac:dyDescent="0.45">
      <c r="B62" s="12" t="s">
        <v>38</v>
      </c>
      <c r="C62" s="9" t="s">
        <v>41</v>
      </c>
      <c r="D62" s="13">
        <f t="shared" si="0"/>
        <v>897765.2365500005</v>
      </c>
      <c r="L62" s="12" t="s">
        <v>38</v>
      </c>
      <c r="M62" s="9" t="s">
        <v>41</v>
      </c>
      <c r="N62" s="13">
        <f t="shared" si="1"/>
        <v>443741.56888359453</v>
      </c>
      <c r="V62" s="12" t="s">
        <v>38</v>
      </c>
      <c r="W62" s="9" t="s">
        <v>41</v>
      </c>
      <c r="X62" s="13">
        <f t="shared" si="2"/>
        <v>145201863.77057812</v>
      </c>
      <c r="AF62" s="12" t="s">
        <v>38</v>
      </c>
      <c r="AG62" s="9" t="s">
        <v>41</v>
      </c>
      <c r="AH62" s="13">
        <f t="shared" si="3"/>
        <v>35996685.115781248</v>
      </c>
      <c r="AP62" s="12" t="s">
        <v>38</v>
      </c>
      <c r="AQ62" s="70" t="s">
        <v>41</v>
      </c>
      <c r="AR62" s="13">
        <f t="shared" si="4"/>
        <v>182540055.69179296</v>
      </c>
    </row>
    <row r="63" spans="2:52" x14ac:dyDescent="0.45">
      <c r="B63" s="12" t="s">
        <v>38</v>
      </c>
      <c r="C63" s="9" t="s">
        <v>42</v>
      </c>
      <c r="D63" s="13">
        <f t="shared" si="0"/>
        <v>69419612.705625042</v>
      </c>
      <c r="L63" s="12" t="s">
        <v>38</v>
      </c>
      <c r="M63" s="9" t="s">
        <v>42</v>
      </c>
      <c r="N63" s="13">
        <f t="shared" si="1"/>
        <v>33004994.486075446</v>
      </c>
      <c r="V63" s="12" t="s">
        <v>38</v>
      </c>
      <c r="W63" s="9" t="s">
        <v>42</v>
      </c>
      <c r="X63" s="13">
        <f t="shared" si="2"/>
        <v>1909266615.1341562</v>
      </c>
      <c r="AF63" s="12" t="s">
        <v>38</v>
      </c>
      <c r="AG63" s="9" t="s">
        <v>42</v>
      </c>
      <c r="AH63" s="13">
        <f t="shared" si="3"/>
        <v>2208358901.5695701</v>
      </c>
      <c r="AP63" s="12" t="s">
        <v>38</v>
      </c>
      <c r="AQ63" s="70" t="s">
        <v>42</v>
      </c>
      <c r="AR63" s="13">
        <f t="shared" si="4"/>
        <v>4220050123.8954268</v>
      </c>
    </row>
    <row r="64" spans="2:52" x14ac:dyDescent="0.45">
      <c r="B64" s="12" t="s">
        <v>38</v>
      </c>
      <c r="C64" s="9" t="s">
        <v>43</v>
      </c>
      <c r="D64" s="13">
        <f t="shared" si="0"/>
        <v>1214164845.7848008</v>
      </c>
      <c r="L64" s="12" t="s">
        <v>38</v>
      </c>
      <c r="M64" s="9" t="s">
        <v>43</v>
      </c>
      <c r="N64" s="13">
        <f t="shared" si="1"/>
        <v>574346660.9523983</v>
      </c>
      <c r="V64" s="12" t="s">
        <v>38</v>
      </c>
      <c r="W64" s="9" t="s">
        <v>43</v>
      </c>
      <c r="X64" s="13">
        <f t="shared" si="2"/>
        <v>18345621103.110985</v>
      </c>
      <c r="AF64" s="12" t="s">
        <v>38</v>
      </c>
      <c r="AG64" s="9" t="s">
        <v>43</v>
      </c>
      <c r="AH64" s="13">
        <f t="shared" si="3"/>
        <v>6540136611.4989834</v>
      </c>
      <c r="AP64" s="12" t="s">
        <v>38</v>
      </c>
      <c r="AQ64" s="70" t="s">
        <v>43</v>
      </c>
      <c r="AR64" s="13">
        <f t="shared" si="4"/>
        <v>26674269221.347168</v>
      </c>
    </row>
    <row r="65" spans="2:44" x14ac:dyDescent="0.45">
      <c r="B65" s="12" t="s">
        <v>38</v>
      </c>
      <c r="C65" s="9" t="s">
        <v>44</v>
      </c>
      <c r="D65" s="13">
        <f t="shared" si="0"/>
        <v>23021143735.057663</v>
      </c>
      <c r="L65" s="12" t="s">
        <v>38</v>
      </c>
      <c r="M65" s="9" t="s">
        <v>44</v>
      </c>
      <c r="N65" s="13">
        <f t="shared" si="1"/>
        <v>10890629310.945778</v>
      </c>
      <c r="V65" s="12" t="s">
        <v>38</v>
      </c>
      <c r="W65" s="9" t="s">
        <v>44</v>
      </c>
      <c r="X65" s="13">
        <f t="shared" si="2"/>
        <v>5852001957.3933754</v>
      </c>
      <c r="AF65" s="12" t="s">
        <v>38</v>
      </c>
      <c r="AG65" s="9" t="s">
        <v>44</v>
      </c>
      <c r="AH65" s="13">
        <f t="shared" si="3"/>
        <v>1756108132099.3459</v>
      </c>
      <c r="AP65" s="12" t="s">
        <v>38</v>
      </c>
      <c r="AQ65" s="70" t="s">
        <v>44</v>
      </c>
      <c r="AR65" s="13">
        <f t="shared" si="4"/>
        <v>1795871907102.7427</v>
      </c>
    </row>
    <row r="66" spans="2:44" x14ac:dyDescent="0.45">
      <c r="B66" s="12" t="s">
        <v>45</v>
      </c>
      <c r="C66" s="9" t="s">
        <v>46</v>
      </c>
      <c r="D66" s="13">
        <f t="shared" si="0"/>
        <v>1784703.3954750011</v>
      </c>
      <c r="L66" s="12" t="s">
        <v>45</v>
      </c>
      <c r="M66" s="9" t="s">
        <v>46</v>
      </c>
      <c r="N66" s="13">
        <f t="shared" si="1"/>
        <v>862957.18568554835</v>
      </c>
      <c r="V66" s="12" t="s">
        <v>45</v>
      </c>
      <c r="W66" s="9" t="s">
        <v>46</v>
      </c>
      <c r="X66" s="13">
        <f t="shared" si="2"/>
        <v>195658584.07725</v>
      </c>
      <c r="AF66" s="12" t="s">
        <v>45</v>
      </c>
      <c r="AG66" s="9" t="s">
        <v>46</v>
      </c>
      <c r="AH66" s="13">
        <f t="shared" si="3"/>
        <v>0</v>
      </c>
      <c r="AP66" s="12" t="s">
        <v>45</v>
      </c>
      <c r="AQ66" s="70" t="s">
        <v>46</v>
      </c>
      <c r="AR66" s="13">
        <f t="shared" si="4"/>
        <v>198306244.65841055</v>
      </c>
    </row>
    <row r="67" spans="2:44" x14ac:dyDescent="0.45">
      <c r="B67" s="12" t="s">
        <v>45</v>
      </c>
      <c r="C67" s="9" t="s">
        <v>47</v>
      </c>
      <c r="D67" s="13">
        <f t="shared" si="0"/>
        <v>1228672.8090000006</v>
      </c>
      <c r="L67" s="12" t="s">
        <v>45</v>
      </c>
      <c r="M67" s="9" t="s">
        <v>47</v>
      </c>
      <c r="N67" s="13">
        <f t="shared" si="1"/>
        <v>619555.1171906261</v>
      </c>
      <c r="V67" s="12" t="s">
        <v>45</v>
      </c>
      <c r="W67" s="9" t="s">
        <v>47</v>
      </c>
      <c r="X67" s="13">
        <f t="shared" si="2"/>
        <v>81304409.088</v>
      </c>
      <c r="AF67" s="12" t="s">
        <v>45</v>
      </c>
      <c r="AG67" s="9" t="s">
        <v>47</v>
      </c>
      <c r="AH67" s="13">
        <f t="shared" si="3"/>
        <v>0</v>
      </c>
      <c r="AP67" s="12" t="s">
        <v>45</v>
      </c>
      <c r="AQ67" s="70" t="s">
        <v>47</v>
      </c>
      <c r="AR67" s="13">
        <f t="shared" si="4"/>
        <v>83152637.014190629</v>
      </c>
    </row>
    <row r="68" spans="2:44" x14ac:dyDescent="0.45">
      <c r="B68" s="12" t="s">
        <v>45</v>
      </c>
      <c r="C68" s="9" t="s">
        <v>48</v>
      </c>
      <c r="D68" s="13">
        <f t="shared" si="0"/>
        <v>10249922928.875181</v>
      </c>
      <c r="L68" s="12" t="s">
        <v>45</v>
      </c>
      <c r="M68" s="9" t="s">
        <v>48</v>
      </c>
      <c r="N68" s="13">
        <f t="shared" si="1"/>
        <v>4845646143.0726891</v>
      </c>
      <c r="V68" s="12" t="s">
        <v>45</v>
      </c>
      <c r="W68" s="9" t="s">
        <v>48</v>
      </c>
      <c r="X68" s="13">
        <f t="shared" si="2"/>
        <v>752668068904.49084</v>
      </c>
      <c r="AF68" s="12" t="s">
        <v>45</v>
      </c>
      <c r="AG68" s="9" t="s">
        <v>48</v>
      </c>
      <c r="AH68" s="13">
        <f t="shared" si="3"/>
        <v>9505991624.1633968</v>
      </c>
      <c r="AP68" s="12" t="s">
        <v>45</v>
      </c>
      <c r="AQ68" s="70" t="s">
        <v>48</v>
      </c>
      <c r="AR68" s="13">
        <f t="shared" si="4"/>
        <v>777269629600.60217</v>
      </c>
    </row>
    <row r="69" spans="2:44" x14ac:dyDescent="0.45">
      <c r="B69" s="12" t="s">
        <v>49</v>
      </c>
      <c r="C69" s="9" t="s">
        <v>50</v>
      </c>
      <c r="D69" s="13">
        <f t="shared" si="0"/>
        <v>1630919594.9182508</v>
      </c>
      <c r="L69" s="12" t="s">
        <v>49</v>
      </c>
      <c r="M69" s="9" t="s">
        <v>50</v>
      </c>
      <c r="N69" s="13">
        <f t="shared" si="1"/>
        <v>770881454.56443644</v>
      </c>
      <c r="V69" s="12" t="s">
        <v>49</v>
      </c>
      <c r="W69" s="9" t="s">
        <v>50</v>
      </c>
      <c r="X69" s="13">
        <f t="shared" si="2"/>
        <v>13600129402.093992</v>
      </c>
      <c r="AF69" s="12" t="s">
        <v>49</v>
      </c>
      <c r="AG69" s="9" t="s">
        <v>50</v>
      </c>
      <c r="AH69" s="13">
        <f t="shared" si="3"/>
        <v>4145879605.3098044</v>
      </c>
      <c r="AP69" s="12" t="s">
        <v>49</v>
      </c>
      <c r="AQ69" s="70" t="s">
        <v>50</v>
      </c>
      <c r="AR69" s="13">
        <f t="shared" si="4"/>
        <v>20147810056.886482</v>
      </c>
    </row>
    <row r="70" spans="2:44" x14ac:dyDescent="0.45">
      <c r="B70" s="12" t="s">
        <v>49</v>
      </c>
      <c r="C70" s="9" t="s">
        <v>51</v>
      </c>
      <c r="D70" s="13">
        <f t="shared" si="0"/>
        <v>15715677288.135834</v>
      </c>
      <c r="L70" s="12" t="s">
        <v>49</v>
      </c>
      <c r="M70" s="9" t="s">
        <v>51</v>
      </c>
      <c r="N70" s="13">
        <f t="shared" si="1"/>
        <v>7428243377.8161211</v>
      </c>
      <c r="V70" s="12" t="s">
        <v>49</v>
      </c>
      <c r="W70" s="9" t="s">
        <v>51</v>
      </c>
      <c r="X70" s="13">
        <f t="shared" si="2"/>
        <v>129718645798.03024</v>
      </c>
      <c r="AF70" s="12" t="s">
        <v>49</v>
      </c>
      <c r="AG70" s="9" t="s">
        <v>51</v>
      </c>
      <c r="AH70" s="13">
        <f t="shared" si="3"/>
        <v>5848202270.0882807</v>
      </c>
      <c r="AP70" s="12" t="s">
        <v>49</v>
      </c>
      <c r="AQ70" s="70" t="s">
        <v>51</v>
      </c>
      <c r="AR70" s="13">
        <f t="shared" si="4"/>
        <v>158710768734.0705</v>
      </c>
    </row>
    <row r="71" spans="2:44" x14ac:dyDescent="0.45">
      <c r="B71" s="12" t="s">
        <v>49</v>
      </c>
      <c r="C71" s="9" t="s">
        <v>52</v>
      </c>
      <c r="D71" s="13">
        <f t="shared" si="0"/>
        <v>48731794183.800026</v>
      </c>
      <c r="L71" s="12" t="s">
        <v>49</v>
      </c>
      <c r="M71" s="9" t="s">
        <v>52</v>
      </c>
      <c r="N71" s="13">
        <f t="shared" si="1"/>
        <v>23033704075.0966</v>
      </c>
      <c r="V71" s="12" t="s">
        <v>49</v>
      </c>
      <c r="W71" s="9" t="s">
        <v>52</v>
      </c>
      <c r="X71" s="13">
        <f t="shared" si="2"/>
        <v>391191956808.85443</v>
      </c>
      <c r="AF71" s="12" t="s">
        <v>49</v>
      </c>
      <c r="AG71" s="9" t="s">
        <v>52</v>
      </c>
      <c r="AH71" s="13">
        <f t="shared" si="3"/>
        <v>13215688789.892694</v>
      </c>
      <c r="AP71" s="12" t="s">
        <v>49</v>
      </c>
      <c r="AQ71" s="70" t="s">
        <v>52</v>
      </c>
      <c r="AR71" s="13">
        <f t="shared" si="4"/>
        <v>476173143857.64374</v>
      </c>
    </row>
    <row r="72" spans="2:44" x14ac:dyDescent="0.45">
      <c r="B72" s="12" t="s">
        <v>49</v>
      </c>
      <c r="C72" s="9" t="s">
        <v>53</v>
      </c>
      <c r="D72" s="13">
        <f t="shared" si="0"/>
        <v>81348084.827100039</v>
      </c>
      <c r="L72" s="12" t="s">
        <v>49</v>
      </c>
      <c r="M72" s="9" t="s">
        <v>53</v>
      </c>
      <c r="N72" s="13">
        <f t="shared" si="1"/>
        <v>38585425.682048507</v>
      </c>
      <c r="V72" s="12" t="s">
        <v>49</v>
      </c>
      <c r="W72" s="9" t="s">
        <v>53</v>
      </c>
      <c r="X72" s="13">
        <f t="shared" si="2"/>
        <v>3149692314.66225</v>
      </c>
      <c r="AF72" s="12" t="s">
        <v>49</v>
      </c>
      <c r="AG72" s="9" t="s">
        <v>53</v>
      </c>
      <c r="AH72" s="13">
        <f t="shared" si="3"/>
        <v>703058542.09910154</v>
      </c>
      <c r="AP72" s="12" t="s">
        <v>49</v>
      </c>
      <c r="AQ72" s="70" t="s">
        <v>74</v>
      </c>
      <c r="AR72" s="13">
        <f t="shared" si="4"/>
        <v>3972684367.2705002</v>
      </c>
    </row>
    <row r="73" spans="2:44" x14ac:dyDescent="0.45">
      <c r="B73" s="12" t="s">
        <v>54</v>
      </c>
      <c r="C73" s="9" t="s">
        <v>55</v>
      </c>
      <c r="D73" s="13">
        <f t="shared" si="0"/>
        <v>338120651.76435018</v>
      </c>
      <c r="L73" s="12" t="s">
        <v>54</v>
      </c>
      <c r="M73" s="9" t="s">
        <v>55</v>
      </c>
      <c r="N73" s="13">
        <f t="shared" si="1"/>
        <v>159853180.74513075</v>
      </c>
      <c r="V73" s="12" t="s">
        <v>54</v>
      </c>
      <c r="W73" s="9" t="s">
        <v>55</v>
      </c>
      <c r="X73" s="13">
        <f t="shared" si="2"/>
        <v>3881905908.2625937</v>
      </c>
      <c r="AF73" s="12" t="s">
        <v>54</v>
      </c>
      <c r="AG73" s="9" t="s">
        <v>55</v>
      </c>
      <c r="AH73" s="13">
        <f t="shared" si="3"/>
        <v>212752.25999999998</v>
      </c>
      <c r="AP73" s="12" t="s">
        <v>54</v>
      </c>
      <c r="AQ73" s="70" t="s">
        <v>55</v>
      </c>
      <c r="AR73" s="13">
        <f t="shared" si="4"/>
        <v>4380092493.0320749</v>
      </c>
    </row>
    <row r="74" spans="2:44" x14ac:dyDescent="0.45">
      <c r="B74" s="12" t="s">
        <v>54</v>
      </c>
      <c r="C74" s="9" t="s">
        <v>56</v>
      </c>
      <c r="D74" s="13">
        <f t="shared" si="0"/>
        <v>337806185.30977517</v>
      </c>
      <c r="L74" s="12" t="s">
        <v>54</v>
      </c>
      <c r="M74" s="9" t="s">
        <v>56</v>
      </c>
      <c r="N74" s="13">
        <f t="shared" si="1"/>
        <v>159704546.65222177</v>
      </c>
      <c r="V74" s="12" t="s">
        <v>54</v>
      </c>
      <c r="W74" s="9" t="s">
        <v>56</v>
      </c>
      <c r="X74" s="13">
        <f t="shared" si="2"/>
        <v>3882995161.0576873</v>
      </c>
      <c r="AF74" s="12" t="s">
        <v>54</v>
      </c>
      <c r="AG74" s="9" t="s">
        <v>56</v>
      </c>
      <c r="AH74" s="13">
        <f t="shared" si="3"/>
        <v>212752.25999999998</v>
      </c>
      <c r="AP74" s="12" t="s">
        <v>54</v>
      </c>
      <c r="AQ74" s="70" t="s">
        <v>56</v>
      </c>
      <c r="AR74" s="13">
        <f t="shared" si="4"/>
        <v>4380718645.2796841</v>
      </c>
    </row>
    <row r="75" spans="2:44" ht="17.5" thickBot="1" x14ac:dyDescent="0.5">
      <c r="B75" s="14" t="s">
        <v>54</v>
      </c>
      <c r="C75" s="15" t="s">
        <v>57</v>
      </c>
      <c r="D75" s="16">
        <f t="shared" si="0"/>
        <v>1210590466.5582006</v>
      </c>
      <c r="L75" s="14" t="s">
        <v>54</v>
      </c>
      <c r="M75" s="15" t="s">
        <v>57</v>
      </c>
      <c r="N75" s="16">
        <f t="shared" si="1"/>
        <v>577116349.80687284</v>
      </c>
      <c r="V75" s="14" t="s">
        <v>54</v>
      </c>
      <c r="W75" s="15" t="s">
        <v>57</v>
      </c>
      <c r="X75" s="16">
        <f t="shared" si="2"/>
        <v>167146620508.224</v>
      </c>
      <c r="AF75" s="14" t="s">
        <v>54</v>
      </c>
      <c r="AG75" s="15" t="s">
        <v>57</v>
      </c>
      <c r="AH75" s="16">
        <f t="shared" si="3"/>
        <v>100074477868.1353</v>
      </c>
      <c r="AP75" s="14" t="s">
        <v>54</v>
      </c>
      <c r="AQ75" s="71" t="s">
        <v>57</v>
      </c>
      <c r="AR75" s="16">
        <f t="shared" si="4"/>
        <v>269008805192.72437</v>
      </c>
    </row>
    <row r="79" spans="2:44" x14ac:dyDescent="0.45">
      <c r="C79" s="9"/>
      <c r="D79" s="9"/>
      <c r="L79" s="9"/>
      <c r="M79" s="9"/>
      <c r="N79" s="9"/>
      <c r="V79" s="9"/>
      <c r="W79" s="9"/>
      <c r="X79" s="9"/>
      <c r="AF79" s="9"/>
      <c r="AG79" s="9"/>
      <c r="AH79" s="9"/>
      <c r="AP79" s="9"/>
      <c r="AQ79" s="9"/>
      <c r="AR79" s="9"/>
    </row>
    <row r="80" spans="2:44" x14ac:dyDescent="0.45">
      <c r="C80" s="9"/>
      <c r="D80" s="9"/>
      <c r="L80" s="9"/>
      <c r="M80" s="9"/>
      <c r="N80" s="9"/>
      <c r="V80" s="9"/>
      <c r="W80" s="9"/>
      <c r="X80" s="9"/>
      <c r="AF80" s="9"/>
      <c r="AG80" s="9"/>
      <c r="AH80" s="9"/>
      <c r="AP80" s="9"/>
      <c r="AQ80" s="9"/>
      <c r="AR80" s="9"/>
    </row>
    <row r="85" spans="1:50" x14ac:dyDescent="0.45">
      <c r="C85" s="9"/>
      <c r="D85" s="9"/>
      <c r="L85" s="9"/>
      <c r="M85" s="9"/>
      <c r="N85" s="9"/>
      <c r="V85" s="9"/>
      <c r="W85" s="9"/>
      <c r="X85" s="9"/>
      <c r="AF85" s="9"/>
      <c r="AG85" s="9"/>
      <c r="AH85" s="9"/>
      <c r="AP85" s="9"/>
      <c r="AQ85" s="9"/>
      <c r="AR85" s="9"/>
    </row>
    <row r="89" spans="1:50" x14ac:dyDescent="0.45">
      <c r="AR89" s="9"/>
    </row>
    <row r="91" spans="1:50" x14ac:dyDescent="0.4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</row>
    <row r="92" spans="1:50" ht="17.5" thickBot="1" x14ac:dyDescent="0.5">
      <c r="A92" s="9"/>
      <c r="B92" s="10" t="s">
        <v>120</v>
      </c>
      <c r="L92" s="10" t="s">
        <v>125</v>
      </c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</row>
    <row r="93" spans="1:50" x14ac:dyDescent="0.45">
      <c r="A93" s="9"/>
      <c r="B93" s="25"/>
      <c r="C93" s="11"/>
      <c r="D93" s="19" t="s">
        <v>71</v>
      </c>
      <c r="E93" s="9"/>
      <c r="F93" s="9"/>
      <c r="G93" s="9"/>
      <c r="H93" s="9"/>
      <c r="I93" s="9"/>
      <c r="J93" s="9"/>
      <c r="K93" s="9"/>
      <c r="L93" s="17"/>
      <c r="M93" s="18"/>
      <c r="N93" s="19" t="s">
        <v>71</v>
      </c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</row>
    <row r="94" spans="1:50" x14ac:dyDescent="0.45">
      <c r="A94" s="9"/>
      <c r="B94" s="65" t="s">
        <v>38</v>
      </c>
      <c r="C94" s="66" t="s">
        <v>39</v>
      </c>
      <c r="D94" s="13">
        <v>87804767700.394257</v>
      </c>
      <c r="E94" s="9"/>
      <c r="F94" s="9"/>
      <c r="G94" s="9"/>
      <c r="H94" s="9"/>
      <c r="I94" s="9"/>
      <c r="J94" s="9"/>
      <c r="K94" s="9"/>
      <c r="L94" s="65" t="s">
        <v>38</v>
      </c>
      <c r="M94" s="66" t="s">
        <v>39</v>
      </c>
      <c r="N94" s="13">
        <v>0.9804636262819848</v>
      </c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</row>
    <row r="95" spans="1:50" x14ac:dyDescent="0.45">
      <c r="A95" s="9"/>
      <c r="B95" s="65" t="s">
        <v>38</v>
      </c>
      <c r="C95" s="66" t="s">
        <v>40</v>
      </c>
      <c r="D95" s="13">
        <v>390110093.08285803</v>
      </c>
      <c r="E95" s="9"/>
      <c r="F95" s="9"/>
      <c r="G95" s="9"/>
      <c r="H95" s="9"/>
      <c r="I95" s="9"/>
      <c r="J95" s="9"/>
      <c r="K95" s="9"/>
      <c r="L95" s="65" t="s">
        <v>38</v>
      </c>
      <c r="M95" s="66" t="s">
        <v>40</v>
      </c>
      <c r="N95" s="13">
        <v>0.98452857466493648</v>
      </c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</row>
    <row r="96" spans="1:50" x14ac:dyDescent="0.45">
      <c r="B96" s="65" t="s">
        <v>38</v>
      </c>
      <c r="C96" s="66" t="s">
        <v>41</v>
      </c>
      <c r="D96" s="13">
        <v>181931132.45205867</v>
      </c>
      <c r="E96" s="9"/>
      <c r="F96" s="9"/>
      <c r="G96" s="9"/>
      <c r="H96" s="9"/>
      <c r="I96" s="9"/>
      <c r="L96" s="65" t="s">
        <v>38</v>
      </c>
      <c r="M96" s="66" t="s">
        <v>41</v>
      </c>
      <c r="N96" s="13">
        <v>0.98855723311522725</v>
      </c>
      <c r="O96" s="9"/>
      <c r="P96" s="9"/>
      <c r="Q96" s="9"/>
      <c r="R96" s="9"/>
      <c r="S96" s="9"/>
      <c r="V96" s="9"/>
      <c r="W96" s="9"/>
      <c r="X96" s="9"/>
      <c r="Y96" s="9"/>
      <c r="Z96" s="9"/>
      <c r="AA96" s="9"/>
      <c r="AB96" s="9"/>
      <c r="AC96" s="9"/>
      <c r="AF96" s="9"/>
      <c r="AG96" s="9"/>
      <c r="AH96" s="9"/>
      <c r="AI96" s="9"/>
      <c r="AJ96" s="9"/>
      <c r="AK96" s="9"/>
      <c r="AL96" s="9"/>
      <c r="AM96" s="9"/>
      <c r="AP96" s="9"/>
      <c r="AQ96" s="9"/>
      <c r="AR96" s="9"/>
      <c r="AS96" s="9"/>
      <c r="AT96" s="9"/>
      <c r="AU96" s="9"/>
      <c r="AV96" s="9"/>
      <c r="AW96" s="9"/>
    </row>
    <row r="97" spans="2:49" x14ac:dyDescent="0.45">
      <c r="B97" s="65" t="s">
        <v>38</v>
      </c>
      <c r="C97" s="66" t="s">
        <v>42</v>
      </c>
      <c r="D97" s="13">
        <v>4182544313.8116775</v>
      </c>
      <c r="E97" s="9"/>
      <c r="F97" s="9"/>
      <c r="G97" s="9"/>
      <c r="H97" s="9"/>
      <c r="I97" s="9"/>
      <c r="L97" s="65" t="s">
        <v>38</v>
      </c>
      <c r="M97" s="66" t="s">
        <v>42</v>
      </c>
      <c r="N97" s="13">
        <v>0.98206230210748624</v>
      </c>
      <c r="O97" s="9"/>
      <c r="P97" s="9"/>
      <c r="Q97" s="9"/>
      <c r="R97" s="9"/>
      <c r="S97" s="9"/>
      <c r="V97" s="9"/>
      <c r="W97" s="9"/>
      <c r="X97" s="9"/>
      <c r="Y97" s="9"/>
      <c r="Z97" s="9"/>
      <c r="AA97" s="9"/>
      <c r="AB97" s="9"/>
      <c r="AC97" s="9"/>
      <c r="AF97" s="9"/>
      <c r="AG97" s="9"/>
      <c r="AH97" s="9"/>
      <c r="AI97" s="9"/>
      <c r="AJ97" s="9"/>
      <c r="AK97" s="9"/>
      <c r="AL97" s="9"/>
      <c r="AM97" s="9"/>
      <c r="AP97" s="9"/>
      <c r="AQ97" s="9"/>
      <c r="AR97" s="9"/>
      <c r="AS97" s="9"/>
      <c r="AT97" s="9"/>
      <c r="AU97" s="9"/>
      <c r="AV97" s="9"/>
      <c r="AW97" s="9"/>
    </row>
    <row r="98" spans="2:49" x14ac:dyDescent="0.45">
      <c r="B98" s="65" t="s">
        <v>38</v>
      </c>
      <c r="C98" s="66" t="s">
        <v>43</v>
      </c>
      <c r="D98" s="13">
        <v>26162289588.981102</v>
      </c>
      <c r="E98" s="9"/>
      <c r="F98" s="9"/>
      <c r="G98" s="9"/>
      <c r="H98" s="9"/>
      <c r="I98" s="9"/>
      <c r="L98" s="65" t="s">
        <v>38</v>
      </c>
      <c r="M98" s="66" t="s">
        <v>43</v>
      </c>
      <c r="N98" s="13">
        <v>0.9605221765147155</v>
      </c>
      <c r="O98" s="9"/>
      <c r="P98" s="9"/>
      <c r="Q98" s="9"/>
      <c r="R98" s="9"/>
      <c r="S98" s="9"/>
      <c r="V98" s="9"/>
      <c r="W98" s="9"/>
      <c r="X98" s="9"/>
      <c r="Y98" s="9"/>
      <c r="Z98" s="9"/>
      <c r="AA98" s="9"/>
      <c r="AB98" s="9"/>
      <c r="AC98" s="9"/>
      <c r="AF98" s="9"/>
      <c r="AG98" s="9"/>
      <c r="AH98" s="9"/>
      <c r="AI98" s="9"/>
      <c r="AJ98" s="9"/>
      <c r="AK98" s="9"/>
      <c r="AL98" s="9"/>
      <c r="AM98" s="9"/>
      <c r="AP98" s="9"/>
      <c r="AQ98" s="9"/>
      <c r="AR98" s="9"/>
      <c r="AS98" s="9"/>
      <c r="AT98" s="9"/>
      <c r="AU98" s="9"/>
      <c r="AV98" s="9"/>
      <c r="AW98" s="9"/>
    </row>
    <row r="99" spans="2:49" x14ac:dyDescent="0.45">
      <c r="B99" s="65" t="s">
        <v>38</v>
      </c>
      <c r="C99" s="66" t="s">
        <v>44</v>
      </c>
      <c r="D99" s="13">
        <v>1796112291529.366</v>
      </c>
      <c r="E99" s="9"/>
      <c r="F99" s="9"/>
      <c r="G99" s="9"/>
      <c r="H99" s="9"/>
      <c r="I99" s="9"/>
      <c r="L99" s="65" t="s">
        <v>38</v>
      </c>
      <c r="M99" s="66" t="s">
        <v>44</v>
      </c>
      <c r="N99" s="13">
        <v>0.99028649290981086</v>
      </c>
      <c r="O99" s="9"/>
      <c r="P99" s="9"/>
      <c r="Q99" s="9"/>
      <c r="R99" s="9"/>
      <c r="S99" s="9"/>
      <c r="V99" s="9"/>
      <c r="W99" s="9"/>
      <c r="X99" s="9"/>
      <c r="Y99" s="9"/>
      <c r="Z99" s="9"/>
      <c r="AA99" s="9"/>
      <c r="AB99" s="9"/>
      <c r="AC99" s="9"/>
      <c r="AF99" s="9"/>
      <c r="AG99" s="9"/>
      <c r="AH99" s="9"/>
      <c r="AI99" s="9"/>
      <c r="AJ99" s="9"/>
      <c r="AK99" s="9"/>
      <c r="AL99" s="9"/>
      <c r="AM99" s="9"/>
      <c r="AP99" s="9"/>
      <c r="AQ99" s="9"/>
      <c r="AR99" s="9"/>
      <c r="AS99" s="9"/>
      <c r="AT99" s="9"/>
      <c r="AU99" s="9"/>
      <c r="AV99" s="9"/>
      <c r="AW99" s="9"/>
    </row>
    <row r="100" spans="2:49" x14ac:dyDescent="0.45">
      <c r="B100" s="65"/>
      <c r="C100" s="66"/>
      <c r="D100" s="13" t="s">
        <v>122</v>
      </c>
      <c r="E100" s="9"/>
      <c r="F100" s="9"/>
      <c r="G100" s="9"/>
      <c r="H100" s="9"/>
      <c r="I100" s="9"/>
      <c r="L100" s="65"/>
      <c r="M100" s="66"/>
      <c r="N100" s="13"/>
      <c r="O100" s="9"/>
      <c r="P100" s="9"/>
      <c r="Q100" s="9"/>
      <c r="R100" s="9"/>
      <c r="S100" s="9"/>
      <c r="V100" s="9"/>
      <c r="W100" s="9"/>
      <c r="X100" s="9"/>
      <c r="Y100" s="9"/>
      <c r="Z100" s="9"/>
      <c r="AA100" s="9"/>
      <c r="AB100" s="9"/>
      <c r="AC100" s="9"/>
      <c r="AF100" s="9"/>
      <c r="AG100" s="9"/>
      <c r="AH100" s="9"/>
      <c r="AI100" s="9"/>
      <c r="AJ100" s="9"/>
      <c r="AK100" s="9"/>
      <c r="AL100" s="9"/>
      <c r="AM100" s="9"/>
      <c r="AP100" s="9"/>
      <c r="AQ100" s="9"/>
      <c r="AR100" s="9"/>
      <c r="AS100" s="9"/>
      <c r="AT100" s="9"/>
      <c r="AU100" s="9"/>
      <c r="AV100" s="9"/>
      <c r="AW100" s="9"/>
    </row>
    <row r="101" spans="2:49" x14ac:dyDescent="0.45">
      <c r="B101" s="65" t="s">
        <v>45</v>
      </c>
      <c r="C101" s="66" t="s">
        <v>46</v>
      </c>
      <c r="D101" s="13">
        <v>197356391.70310858</v>
      </c>
      <c r="E101" s="9"/>
      <c r="F101" s="9"/>
      <c r="G101" s="9"/>
      <c r="H101" s="9"/>
      <c r="I101" s="9"/>
      <c r="L101" s="65" t="s">
        <v>45</v>
      </c>
      <c r="M101" s="66" t="s">
        <v>46</v>
      </c>
      <c r="N101" s="13">
        <v>0.98559729783053407</v>
      </c>
      <c r="O101" s="9"/>
      <c r="P101" s="9"/>
      <c r="Q101" s="9"/>
      <c r="R101" s="9"/>
      <c r="S101" s="9"/>
      <c r="V101" s="9"/>
      <c r="W101" s="9"/>
      <c r="X101" s="9"/>
      <c r="Y101" s="9"/>
      <c r="Z101" s="9"/>
      <c r="AA101" s="9"/>
      <c r="AB101" s="9"/>
      <c r="AC101" s="9"/>
      <c r="AF101" s="9"/>
      <c r="AG101" s="9"/>
      <c r="AH101" s="9"/>
      <c r="AI101" s="9"/>
      <c r="AJ101" s="9"/>
      <c r="AK101" s="9"/>
      <c r="AL101" s="9"/>
      <c r="AM101" s="9"/>
      <c r="AP101" s="9"/>
      <c r="AQ101" s="9"/>
      <c r="AR101" s="9"/>
      <c r="AS101" s="9"/>
      <c r="AT101" s="9"/>
      <c r="AU101" s="9"/>
      <c r="AV101" s="9"/>
      <c r="AW101" s="9"/>
    </row>
    <row r="102" spans="2:49" x14ac:dyDescent="0.45">
      <c r="B102" s="65" t="s">
        <v>45</v>
      </c>
      <c r="C102" s="66" t="s">
        <v>47</v>
      </c>
      <c r="D102" s="13">
        <v>83108070.692142159</v>
      </c>
      <c r="E102" s="9"/>
      <c r="F102" s="9"/>
      <c r="G102" s="9"/>
      <c r="H102" s="9"/>
      <c r="I102" s="9"/>
      <c r="L102" s="65" t="s">
        <v>45</v>
      </c>
      <c r="M102" s="66" t="s">
        <v>47</v>
      </c>
      <c r="N102" s="13">
        <v>0.98969716625242932</v>
      </c>
      <c r="O102" s="9"/>
      <c r="P102" s="9"/>
      <c r="Q102" s="9"/>
      <c r="R102" s="9"/>
      <c r="S102" s="9"/>
      <c r="V102" s="9"/>
      <c r="W102" s="9"/>
      <c r="X102" s="9"/>
      <c r="Y102" s="9"/>
      <c r="Z102" s="9"/>
      <c r="AA102" s="9"/>
      <c r="AB102" s="9"/>
      <c r="AC102" s="9"/>
      <c r="AF102" s="9"/>
      <c r="AG102" s="9"/>
      <c r="AH102" s="9"/>
      <c r="AI102" s="9"/>
      <c r="AJ102" s="9"/>
      <c r="AK102" s="9"/>
      <c r="AL102" s="9"/>
      <c r="AM102" s="9"/>
      <c r="AP102" s="9"/>
      <c r="AQ102" s="9"/>
      <c r="AR102" s="9"/>
      <c r="AS102" s="9"/>
      <c r="AT102" s="9"/>
      <c r="AU102" s="9"/>
      <c r="AV102" s="9"/>
      <c r="AW102" s="9"/>
    </row>
    <row r="103" spans="2:49" x14ac:dyDescent="0.45">
      <c r="B103" s="65" t="s">
        <v>45</v>
      </c>
      <c r="C103" s="66" t="s">
        <v>48</v>
      </c>
      <c r="D103" s="13">
        <v>773835476588.30164</v>
      </c>
      <c r="E103" s="9"/>
      <c r="F103" s="9"/>
      <c r="G103" s="9"/>
      <c r="H103" s="9"/>
      <c r="I103" s="9"/>
      <c r="L103" s="65" t="s">
        <v>45</v>
      </c>
      <c r="M103" s="66" t="s">
        <v>48</v>
      </c>
      <c r="N103" s="13">
        <v>0.98570096084735193</v>
      </c>
      <c r="O103" s="9"/>
      <c r="P103" s="9"/>
      <c r="Q103" s="9"/>
      <c r="R103" s="9"/>
      <c r="S103" s="9"/>
      <c r="V103" s="9"/>
      <c r="W103" s="9"/>
      <c r="X103" s="9"/>
      <c r="Y103" s="9"/>
      <c r="Z103" s="9"/>
      <c r="AA103" s="9"/>
      <c r="AB103" s="9"/>
      <c r="AC103" s="9"/>
      <c r="AF103" s="9"/>
      <c r="AG103" s="9"/>
      <c r="AH103" s="9"/>
      <c r="AI103" s="9"/>
      <c r="AJ103" s="9"/>
      <c r="AK103" s="9"/>
      <c r="AL103" s="9"/>
      <c r="AM103" s="9"/>
      <c r="AP103" s="9"/>
      <c r="AQ103" s="9"/>
      <c r="AR103" s="9"/>
      <c r="AS103" s="9"/>
      <c r="AT103" s="9"/>
      <c r="AU103" s="9"/>
      <c r="AV103" s="9"/>
      <c r="AW103" s="9"/>
    </row>
    <row r="104" spans="2:49" x14ac:dyDescent="0.45">
      <c r="B104" s="65"/>
      <c r="C104" s="66"/>
      <c r="D104" s="13" t="s">
        <v>122</v>
      </c>
      <c r="E104" s="9"/>
      <c r="F104" s="9"/>
      <c r="G104" s="9"/>
      <c r="H104" s="9"/>
      <c r="I104" s="9"/>
      <c r="L104" s="65"/>
      <c r="M104" s="66"/>
      <c r="N104" s="13"/>
      <c r="O104" s="9"/>
      <c r="P104" s="9"/>
      <c r="Q104" s="9"/>
      <c r="R104" s="9"/>
      <c r="S104" s="9"/>
      <c r="V104" s="9"/>
      <c r="W104" s="9"/>
      <c r="X104" s="9"/>
      <c r="Y104" s="9"/>
      <c r="Z104" s="9"/>
      <c r="AA104" s="9"/>
      <c r="AB104" s="9"/>
      <c r="AC104" s="9"/>
      <c r="AF104" s="9"/>
      <c r="AG104" s="9"/>
      <c r="AH104" s="9"/>
      <c r="AI104" s="9"/>
      <c r="AJ104" s="9"/>
      <c r="AK104" s="9"/>
      <c r="AL104" s="9"/>
      <c r="AM104" s="9"/>
      <c r="AP104" s="9"/>
      <c r="AQ104" s="9"/>
      <c r="AR104" s="9"/>
      <c r="AS104" s="9"/>
      <c r="AT104" s="9"/>
      <c r="AU104" s="9"/>
      <c r="AV104" s="9"/>
      <c r="AW104" s="9"/>
    </row>
    <row r="105" spans="2:49" x14ac:dyDescent="0.45">
      <c r="B105" s="65" t="s">
        <v>49</v>
      </c>
      <c r="C105" s="66" t="s">
        <v>121</v>
      </c>
      <c r="D105" s="13">
        <v>20020088295.761677</v>
      </c>
      <c r="E105" s="9"/>
      <c r="F105" s="9"/>
      <c r="G105" s="9"/>
      <c r="H105" s="9"/>
      <c r="I105" s="9"/>
      <c r="L105" s="65" t="s">
        <v>49</v>
      </c>
      <c r="M105" s="66" t="s">
        <v>121</v>
      </c>
      <c r="N105" s="13">
        <v>1.0088693290908846</v>
      </c>
      <c r="O105" s="9"/>
      <c r="P105" s="9"/>
      <c r="Q105" s="9"/>
      <c r="R105" s="9"/>
      <c r="S105" s="9"/>
      <c r="V105" s="9"/>
      <c r="W105" s="9"/>
      <c r="X105" s="9"/>
      <c r="Y105" s="9"/>
      <c r="Z105" s="9"/>
      <c r="AA105" s="9"/>
      <c r="AB105" s="9"/>
      <c r="AC105" s="9"/>
      <c r="AF105" s="9"/>
      <c r="AG105" s="9"/>
      <c r="AH105" s="9"/>
      <c r="AI105" s="9"/>
      <c r="AJ105" s="9"/>
      <c r="AK105" s="9"/>
      <c r="AL105" s="9"/>
      <c r="AM105" s="9"/>
      <c r="AP105" s="9"/>
      <c r="AQ105" s="9"/>
      <c r="AR105" s="9"/>
      <c r="AS105" s="9"/>
      <c r="AT105" s="9"/>
      <c r="AU105" s="9"/>
      <c r="AV105" s="9"/>
      <c r="AW105" s="9"/>
    </row>
    <row r="106" spans="2:49" x14ac:dyDescent="0.45">
      <c r="B106" s="65" t="s">
        <v>49</v>
      </c>
      <c r="C106" s="66" t="s">
        <v>51</v>
      </c>
      <c r="D106" s="13">
        <v>155230711430.88049</v>
      </c>
      <c r="E106" s="9"/>
      <c r="F106" s="9"/>
      <c r="G106" s="9"/>
      <c r="H106" s="9"/>
      <c r="I106" s="9"/>
      <c r="L106" s="65" t="s">
        <v>49</v>
      </c>
      <c r="M106" s="66" t="s">
        <v>51</v>
      </c>
      <c r="N106" s="13">
        <v>0.96192761857182751</v>
      </c>
      <c r="O106" s="9"/>
      <c r="P106" s="9"/>
      <c r="Q106" s="9"/>
      <c r="R106" s="9"/>
      <c r="S106" s="9"/>
      <c r="V106" s="9"/>
      <c r="W106" s="9"/>
      <c r="X106" s="9"/>
      <c r="Y106" s="9"/>
      <c r="Z106" s="9"/>
      <c r="AA106" s="9"/>
      <c r="AB106" s="9"/>
      <c r="AC106" s="9"/>
      <c r="AF106" s="9"/>
      <c r="AG106" s="9"/>
      <c r="AH106" s="9"/>
      <c r="AI106" s="9"/>
      <c r="AJ106" s="9"/>
      <c r="AK106" s="9"/>
      <c r="AL106" s="9"/>
      <c r="AM106" s="9"/>
      <c r="AP106" s="9"/>
      <c r="AQ106" s="9"/>
      <c r="AR106" s="9"/>
      <c r="AS106" s="9"/>
      <c r="AT106" s="9"/>
      <c r="AU106" s="9"/>
      <c r="AV106" s="9"/>
      <c r="AW106" s="9"/>
    </row>
    <row r="107" spans="2:49" x14ac:dyDescent="0.45">
      <c r="B107" s="65" t="s">
        <v>49</v>
      </c>
      <c r="C107" s="66" t="s">
        <v>52</v>
      </c>
      <c r="D107" s="13">
        <v>468285653044.47546</v>
      </c>
      <c r="E107" s="9"/>
      <c r="F107" s="9"/>
      <c r="G107" s="9"/>
      <c r="H107" s="9"/>
      <c r="I107" s="9"/>
      <c r="L107" s="65" t="s">
        <v>49</v>
      </c>
      <c r="M107" s="66" t="s">
        <v>52</v>
      </c>
      <c r="N107" s="13">
        <v>0.96530000730750543</v>
      </c>
      <c r="O107" s="9"/>
      <c r="P107" s="9"/>
      <c r="Q107" s="9"/>
      <c r="R107" s="9"/>
      <c r="S107" s="9"/>
      <c r="V107" s="9"/>
      <c r="W107" s="9"/>
      <c r="X107" s="9"/>
      <c r="Y107" s="9"/>
      <c r="Z107" s="9"/>
      <c r="AA107" s="9"/>
      <c r="AB107" s="9"/>
      <c r="AC107" s="9"/>
      <c r="AF107" s="9"/>
      <c r="AG107" s="9"/>
      <c r="AH107" s="9"/>
      <c r="AI107" s="9"/>
      <c r="AJ107" s="9"/>
      <c r="AK107" s="9"/>
      <c r="AL107" s="9"/>
      <c r="AM107" s="9"/>
      <c r="AP107" s="9"/>
      <c r="AQ107" s="9"/>
      <c r="AR107" s="9"/>
      <c r="AS107" s="9"/>
      <c r="AT107" s="9"/>
      <c r="AU107" s="9"/>
      <c r="AV107" s="9"/>
      <c r="AW107" s="9"/>
    </row>
    <row r="108" spans="2:49" x14ac:dyDescent="0.45">
      <c r="B108" s="65" t="s">
        <v>49</v>
      </c>
      <c r="C108" s="66" t="s">
        <v>53</v>
      </c>
      <c r="D108" s="13">
        <v>3955010640.275352</v>
      </c>
      <c r="E108" s="9"/>
      <c r="F108" s="9"/>
      <c r="G108" s="9"/>
      <c r="H108" s="9"/>
      <c r="I108" s="9"/>
      <c r="L108" s="65" t="s">
        <v>49</v>
      </c>
      <c r="M108" s="66" t="s">
        <v>53</v>
      </c>
      <c r="N108" s="13">
        <v>0.98478782718627811</v>
      </c>
      <c r="O108" s="9"/>
      <c r="P108" s="9"/>
      <c r="Q108" s="9"/>
      <c r="R108" s="9"/>
      <c r="S108" s="9"/>
      <c r="V108" s="9"/>
      <c r="W108" s="9"/>
      <c r="X108" s="9"/>
      <c r="Y108" s="9"/>
      <c r="Z108" s="9"/>
      <c r="AA108" s="9"/>
      <c r="AB108" s="9"/>
      <c r="AC108" s="9"/>
      <c r="AF108" s="9"/>
      <c r="AG108" s="9"/>
      <c r="AH108" s="9"/>
      <c r="AI108" s="9"/>
      <c r="AJ108" s="9"/>
      <c r="AK108" s="9"/>
      <c r="AL108" s="9"/>
      <c r="AM108" s="9"/>
      <c r="AP108" s="9"/>
      <c r="AQ108" s="9"/>
      <c r="AR108" s="9"/>
      <c r="AS108" s="9"/>
      <c r="AT108" s="9"/>
      <c r="AU108" s="9"/>
      <c r="AV108" s="9"/>
      <c r="AW108" s="9"/>
    </row>
    <row r="109" spans="2:49" x14ac:dyDescent="0.45">
      <c r="B109" s="65"/>
      <c r="C109" s="66"/>
      <c r="D109" s="13" t="s">
        <v>122</v>
      </c>
      <c r="E109" s="9"/>
      <c r="F109" s="9"/>
      <c r="G109" s="9"/>
      <c r="H109" s="9"/>
      <c r="I109" s="9"/>
      <c r="L109" s="65"/>
      <c r="M109" s="66"/>
      <c r="N109" s="13"/>
      <c r="O109" s="9"/>
      <c r="P109" s="9"/>
      <c r="Q109" s="9"/>
      <c r="R109" s="9"/>
      <c r="S109" s="9"/>
      <c r="V109" s="9"/>
      <c r="W109" s="9"/>
      <c r="X109" s="9"/>
      <c r="Y109" s="9"/>
      <c r="Z109" s="9"/>
      <c r="AA109" s="9"/>
      <c r="AB109" s="9"/>
      <c r="AC109" s="9"/>
      <c r="AF109" s="9"/>
      <c r="AG109" s="9"/>
      <c r="AH109" s="9"/>
      <c r="AI109" s="9"/>
      <c r="AJ109" s="9"/>
      <c r="AK109" s="9"/>
      <c r="AL109" s="9"/>
      <c r="AM109" s="9"/>
      <c r="AP109" s="9"/>
      <c r="AQ109" s="9"/>
      <c r="AR109" s="9"/>
      <c r="AS109" s="9"/>
      <c r="AT109" s="9"/>
      <c r="AU109" s="9"/>
      <c r="AV109" s="9"/>
      <c r="AW109" s="9"/>
    </row>
    <row r="110" spans="2:49" x14ac:dyDescent="0.45">
      <c r="B110" s="65" t="s">
        <v>54</v>
      </c>
      <c r="C110" s="66" t="s">
        <v>55</v>
      </c>
      <c r="D110" s="13">
        <v>4336182526.2678423</v>
      </c>
      <c r="E110" s="9"/>
      <c r="F110" s="9"/>
      <c r="G110" s="9"/>
      <c r="H110" s="9"/>
      <c r="I110" s="9"/>
      <c r="L110" s="65" t="s">
        <v>54</v>
      </c>
      <c r="M110" s="66" t="s">
        <v>55</v>
      </c>
      <c r="N110" s="13">
        <v>0.97590158531277216</v>
      </c>
      <c r="O110" s="9"/>
      <c r="P110" s="9"/>
      <c r="Q110" s="9"/>
      <c r="R110" s="9"/>
      <c r="S110" s="9"/>
      <c r="V110" s="9"/>
      <c r="W110" s="9"/>
      <c r="X110" s="9"/>
      <c r="Y110" s="9"/>
      <c r="Z110" s="9"/>
      <c r="AA110" s="9"/>
      <c r="AB110" s="9"/>
      <c r="AC110" s="9"/>
      <c r="AF110" s="9"/>
      <c r="AG110" s="9"/>
      <c r="AH110" s="9"/>
      <c r="AI110" s="9"/>
      <c r="AJ110" s="9"/>
      <c r="AK110" s="9"/>
      <c r="AL110" s="9"/>
      <c r="AM110" s="9"/>
      <c r="AP110" s="9"/>
      <c r="AQ110" s="9"/>
      <c r="AR110" s="9"/>
      <c r="AS110" s="9"/>
      <c r="AT110" s="9"/>
      <c r="AU110" s="9"/>
      <c r="AV110" s="9"/>
      <c r="AW110" s="9"/>
    </row>
    <row r="111" spans="2:49" x14ac:dyDescent="0.45">
      <c r="B111" s="65" t="s">
        <v>54</v>
      </c>
      <c r="C111" s="66" t="s">
        <v>56</v>
      </c>
      <c r="D111" s="13">
        <v>4255507496.6336999</v>
      </c>
      <c r="E111" s="9"/>
      <c r="F111" s="9"/>
      <c r="G111" s="9"/>
      <c r="H111" s="9"/>
      <c r="I111" s="9"/>
      <c r="L111" s="65" t="s">
        <v>54</v>
      </c>
      <c r="M111" s="66" t="s">
        <v>56</v>
      </c>
      <c r="N111" s="13">
        <v>0.95775440109141574</v>
      </c>
      <c r="O111" s="9"/>
      <c r="P111" s="9"/>
      <c r="Q111" s="9"/>
      <c r="R111" s="9"/>
      <c r="S111" s="9"/>
      <c r="V111" s="9"/>
      <c r="W111" s="9"/>
      <c r="X111" s="9"/>
      <c r="Y111" s="9"/>
      <c r="Z111" s="9"/>
      <c r="AA111" s="9"/>
      <c r="AB111" s="9"/>
      <c r="AC111" s="9"/>
      <c r="AF111" s="9"/>
      <c r="AG111" s="9"/>
      <c r="AH111" s="9"/>
      <c r="AI111" s="9"/>
      <c r="AJ111" s="9"/>
      <c r="AK111" s="9"/>
      <c r="AL111" s="9"/>
      <c r="AM111" s="9"/>
      <c r="AP111" s="9"/>
      <c r="AQ111" s="9"/>
      <c r="AR111" s="9"/>
      <c r="AS111" s="9"/>
      <c r="AT111" s="9"/>
      <c r="AU111" s="9"/>
      <c r="AV111" s="9"/>
      <c r="AW111" s="9"/>
    </row>
    <row r="112" spans="2:49" x14ac:dyDescent="0.45">
      <c r="B112" s="65" t="s">
        <v>54</v>
      </c>
      <c r="C112" s="66" t="s">
        <v>57</v>
      </c>
      <c r="D112" s="13">
        <v>268255922036.67386</v>
      </c>
      <c r="E112" s="9"/>
      <c r="F112" s="9"/>
      <c r="G112" s="9"/>
      <c r="H112" s="9"/>
      <c r="I112" s="9"/>
      <c r="L112" s="65" t="s">
        <v>54</v>
      </c>
      <c r="M112" s="66" t="s">
        <v>57</v>
      </c>
      <c r="N112" s="13">
        <v>0.98811472011209589</v>
      </c>
      <c r="O112" s="9"/>
      <c r="P112" s="9"/>
      <c r="Q112" s="9"/>
      <c r="R112" s="9"/>
      <c r="S112" s="9"/>
      <c r="V112" s="9"/>
      <c r="W112" s="9"/>
      <c r="X112" s="9"/>
      <c r="Y112" s="9"/>
      <c r="Z112" s="9"/>
      <c r="AA112" s="9"/>
      <c r="AB112" s="9"/>
      <c r="AC112" s="9"/>
      <c r="AF112" s="9"/>
      <c r="AG112" s="9"/>
      <c r="AH112" s="9"/>
      <c r="AI112" s="9"/>
      <c r="AJ112" s="9"/>
      <c r="AK112" s="9"/>
      <c r="AL112" s="9"/>
      <c r="AM112" s="9"/>
      <c r="AP112" s="9"/>
      <c r="AQ112" s="9"/>
      <c r="AR112" s="9"/>
      <c r="AS112" s="9"/>
      <c r="AT112" s="9"/>
      <c r="AU112" s="9"/>
      <c r="AV112" s="9"/>
      <c r="AW112" s="9"/>
    </row>
    <row r="113" spans="1:50" x14ac:dyDescent="0.45">
      <c r="B113" s="12"/>
      <c r="C113" s="9"/>
      <c r="D113" s="13"/>
      <c r="E113" s="9"/>
      <c r="F113" s="9"/>
      <c r="G113" s="9"/>
      <c r="H113" s="9"/>
      <c r="I113" s="9"/>
      <c r="L113" s="65"/>
      <c r="M113" s="66"/>
      <c r="N113" s="13"/>
      <c r="O113" s="9"/>
      <c r="P113" s="9"/>
      <c r="Q113" s="9"/>
      <c r="R113" s="9"/>
      <c r="S113" s="9"/>
      <c r="V113" s="9"/>
      <c r="W113" s="9"/>
      <c r="X113" s="9"/>
      <c r="Y113" s="9"/>
      <c r="Z113" s="9"/>
      <c r="AA113" s="9"/>
      <c r="AB113" s="9"/>
      <c r="AC113" s="9"/>
      <c r="AF113" s="9"/>
      <c r="AG113" s="9"/>
      <c r="AH113" s="9"/>
      <c r="AI113" s="9"/>
      <c r="AJ113" s="9"/>
      <c r="AK113" s="9"/>
      <c r="AL113" s="9"/>
      <c r="AM113" s="9"/>
      <c r="AP113" s="9"/>
      <c r="AQ113" s="9"/>
      <c r="AR113" s="9"/>
      <c r="AS113" s="9"/>
      <c r="AT113" s="9"/>
      <c r="AU113" s="9"/>
      <c r="AV113" s="9"/>
      <c r="AW113" s="9"/>
    </row>
    <row r="114" spans="1:50" ht="17.5" thickBot="1" x14ac:dyDescent="0.5">
      <c r="B114" s="67" t="s">
        <v>123</v>
      </c>
      <c r="C114" s="15"/>
      <c r="D114" s="68">
        <f t="shared" ref="D114" si="5">GEOMEAN(D94:D112)</f>
        <v>12673446007.846989</v>
      </c>
      <c r="E114" s="9"/>
      <c r="F114" s="9"/>
      <c r="G114" s="9"/>
      <c r="H114" s="9"/>
      <c r="I114" s="9"/>
      <c r="L114" s="67"/>
      <c r="M114" s="69" t="s">
        <v>123</v>
      </c>
      <c r="N114" s="16">
        <v>0.98054292638522322</v>
      </c>
      <c r="O114" s="9"/>
      <c r="P114" s="9"/>
      <c r="Q114" s="9"/>
      <c r="R114" s="9"/>
      <c r="S114" s="9"/>
      <c r="V114" s="9"/>
      <c r="W114" s="9"/>
      <c r="X114" s="9"/>
      <c r="Y114" s="9"/>
      <c r="Z114" s="9"/>
      <c r="AA114" s="9"/>
      <c r="AB114" s="9"/>
      <c r="AC114" s="9"/>
      <c r="AF114" s="9"/>
      <c r="AG114" s="9"/>
      <c r="AH114" s="9"/>
      <c r="AI114" s="9"/>
      <c r="AJ114" s="9"/>
      <c r="AK114" s="9"/>
      <c r="AL114" s="9"/>
      <c r="AM114" s="9"/>
      <c r="AP114" s="9"/>
      <c r="AQ114" s="9"/>
      <c r="AR114" s="9"/>
      <c r="AS114" s="9"/>
      <c r="AT114" s="9"/>
      <c r="AU114" s="9"/>
      <c r="AV114" s="9"/>
      <c r="AW114" s="9"/>
    </row>
    <row r="115" spans="1:50" x14ac:dyDescent="0.45">
      <c r="B115" s="9"/>
      <c r="C115" s="9"/>
      <c r="D115" s="9"/>
      <c r="E115" s="9"/>
      <c r="F115" s="9"/>
      <c r="G115" s="9"/>
      <c r="H115" s="9"/>
      <c r="I115" s="9"/>
      <c r="L115" s="9"/>
      <c r="M115" s="9"/>
      <c r="N115" s="9"/>
      <c r="O115" s="9"/>
      <c r="P115" s="9"/>
      <c r="Q115" s="9"/>
      <c r="R115" s="9"/>
      <c r="S115" s="9"/>
      <c r="V115" s="9"/>
      <c r="W115" s="9"/>
      <c r="X115" s="9"/>
      <c r="Y115" s="9"/>
      <c r="Z115" s="9"/>
      <c r="AA115" s="9"/>
      <c r="AB115" s="9"/>
      <c r="AC115" s="9"/>
      <c r="AF115" s="9"/>
      <c r="AG115" s="9"/>
      <c r="AH115" s="9"/>
      <c r="AI115" s="9"/>
      <c r="AJ115" s="9"/>
      <c r="AK115" s="9"/>
      <c r="AL115" s="9"/>
      <c r="AM115" s="9"/>
      <c r="AP115" s="9"/>
      <c r="AQ115" s="9"/>
      <c r="AR115" s="9"/>
      <c r="AS115" s="9"/>
      <c r="AT115" s="9"/>
      <c r="AU115" s="9"/>
      <c r="AV115" s="9"/>
      <c r="AW115" s="9"/>
    </row>
    <row r="116" spans="1:50" x14ac:dyDescent="0.45">
      <c r="B116" s="9"/>
      <c r="C116" s="9"/>
      <c r="D116" s="9"/>
      <c r="E116" s="9"/>
      <c r="F116" s="9"/>
      <c r="G116" s="9"/>
      <c r="H116" s="9"/>
      <c r="I116" s="9"/>
      <c r="L116" s="9"/>
      <c r="M116" s="9"/>
      <c r="N116" s="9"/>
      <c r="O116" s="9"/>
      <c r="P116" s="9"/>
      <c r="Q116" s="9"/>
      <c r="R116" s="9"/>
      <c r="S116" s="9"/>
      <c r="V116" s="9"/>
      <c r="W116" s="9"/>
      <c r="X116" s="9"/>
      <c r="Y116" s="9"/>
      <c r="Z116" s="9"/>
      <c r="AA116" s="9"/>
      <c r="AB116" s="9"/>
      <c r="AC116" s="9"/>
      <c r="AF116" s="9"/>
      <c r="AG116" s="9"/>
      <c r="AH116" s="9"/>
      <c r="AI116" s="9"/>
      <c r="AJ116" s="9"/>
      <c r="AK116" s="9"/>
      <c r="AL116" s="9"/>
      <c r="AM116" s="9"/>
      <c r="AP116" s="9"/>
      <c r="AQ116" s="9"/>
      <c r="AR116" s="9"/>
      <c r="AS116" s="9"/>
      <c r="AT116" s="9"/>
      <c r="AU116" s="9"/>
      <c r="AV116" s="9"/>
      <c r="AW116" s="9"/>
    </row>
    <row r="117" spans="1:50" x14ac:dyDescent="0.45">
      <c r="B117" s="9"/>
      <c r="C117" s="9"/>
      <c r="D117" s="9"/>
      <c r="E117" s="9"/>
      <c r="F117" s="9"/>
      <c r="G117" s="9"/>
      <c r="H117" s="9"/>
      <c r="I117" s="9"/>
      <c r="L117" s="9"/>
      <c r="M117" s="9"/>
      <c r="N117" s="9"/>
      <c r="O117" s="9"/>
      <c r="P117" s="9"/>
      <c r="Q117" s="9"/>
      <c r="R117" s="9"/>
      <c r="S117" s="9"/>
      <c r="V117" s="9"/>
      <c r="W117" s="9"/>
      <c r="X117" s="9"/>
      <c r="Y117" s="9"/>
      <c r="Z117" s="9"/>
      <c r="AA117" s="9"/>
      <c r="AB117" s="9"/>
      <c r="AC117" s="9"/>
      <c r="AF117" s="9"/>
      <c r="AG117" s="9"/>
      <c r="AH117" s="9"/>
      <c r="AI117" s="9"/>
      <c r="AJ117" s="9"/>
      <c r="AK117" s="9"/>
      <c r="AL117" s="9"/>
      <c r="AM117" s="9"/>
      <c r="AP117" s="9"/>
      <c r="AQ117" s="9"/>
      <c r="AR117" s="9"/>
      <c r="AS117" s="9"/>
      <c r="AT117" s="9"/>
      <c r="AU117" s="9"/>
      <c r="AV117" s="9"/>
      <c r="AW117" s="9"/>
    </row>
    <row r="118" spans="1:50" x14ac:dyDescent="0.45">
      <c r="B118" s="9"/>
      <c r="C118" s="9"/>
      <c r="D118" s="9"/>
      <c r="E118" s="9"/>
      <c r="F118" s="9"/>
      <c r="G118" s="9"/>
      <c r="H118" s="9"/>
      <c r="I118" s="9"/>
      <c r="L118" s="9"/>
      <c r="M118" s="9"/>
      <c r="N118" s="9"/>
      <c r="O118" s="9"/>
      <c r="P118" s="9"/>
      <c r="Q118" s="9"/>
      <c r="R118" s="9"/>
      <c r="S118" s="9"/>
      <c r="V118" s="9"/>
      <c r="W118" s="9"/>
      <c r="X118" s="9"/>
      <c r="Y118" s="9"/>
      <c r="Z118" s="9"/>
      <c r="AA118" s="9"/>
      <c r="AB118" s="9"/>
      <c r="AC118" s="9"/>
      <c r="AF118" s="9"/>
      <c r="AG118" s="9"/>
      <c r="AH118" s="9"/>
      <c r="AI118" s="9"/>
      <c r="AJ118" s="9"/>
      <c r="AK118" s="9"/>
      <c r="AL118" s="9"/>
      <c r="AM118" s="9"/>
      <c r="AP118" s="9"/>
      <c r="AQ118" s="9"/>
      <c r="AR118" s="9"/>
      <c r="AS118" s="9"/>
      <c r="AT118" s="9"/>
      <c r="AU118" s="9"/>
      <c r="AV118" s="9"/>
      <c r="AW118" s="9"/>
    </row>
    <row r="119" spans="1:50" x14ac:dyDescent="0.45">
      <c r="B119" s="9"/>
      <c r="C119" s="9"/>
      <c r="D119" s="9"/>
      <c r="E119" s="9"/>
      <c r="F119" s="9"/>
      <c r="G119" s="9"/>
      <c r="H119" s="9"/>
      <c r="I119" s="9"/>
      <c r="L119" s="9"/>
      <c r="M119" s="9"/>
      <c r="N119" s="9"/>
      <c r="O119" s="9"/>
      <c r="P119" s="9"/>
      <c r="Q119" s="9"/>
      <c r="R119" s="9"/>
      <c r="S119" s="9"/>
      <c r="V119" s="9"/>
      <c r="W119" s="9"/>
      <c r="X119" s="9"/>
      <c r="Y119" s="9"/>
      <c r="Z119" s="9"/>
      <c r="AA119" s="9"/>
      <c r="AB119" s="9"/>
      <c r="AC119" s="9"/>
      <c r="AF119" s="9"/>
      <c r="AG119" s="9"/>
      <c r="AH119" s="9"/>
      <c r="AI119" s="9"/>
      <c r="AJ119" s="9"/>
      <c r="AK119" s="9"/>
      <c r="AL119" s="9"/>
      <c r="AM119" s="9"/>
      <c r="AP119" s="9"/>
      <c r="AQ119" s="9"/>
      <c r="AR119" s="9"/>
      <c r="AS119" s="9"/>
      <c r="AT119" s="9"/>
      <c r="AU119" s="9"/>
      <c r="AV119" s="9"/>
      <c r="AW119" s="9"/>
    </row>
    <row r="120" spans="1:50" x14ac:dyDescent="0.45">
      <c r="B120" s="9"/>
      <c r="C120" s="9"/>
      <c r="D120" s="9"/>
      <c r="E120" s="9"/>
      <c r="F120" s="9"/>
      <c r="G120" s="9"/>
      <c r="H120" s="9"/>
      <c r="I120" s="9"/>
      <c r="L120" s="9"/>
      <c r="M120" s="9"/>
      <c r="N120" s="9"/>
      <c r="O120" s="9"/>
      <c r="P120" s="9"/>
      <c r="Q120" s="9"/>
      <c r="R120" s="9"/>
      <c r="S120" s="9"/>
      <c r="V120" s="9"/>
      <c r="W120" s="9"/>
      <c r="X120" s="9"/>
      <c r="Y120" s="9"/>
      <c r="Z120" s="9"/>
      <c r="AA120" s="9"/>
      <c r="AB120" s="9"/>
      <c r="AC120" s="9"/>
      <c r="AF120" s="9"/>
      <c r="AG120" s="9"/>
      <c r="AH120" s="9"/>
      <c r="AI120" s="9"/>
      <c r="AJ120" s="9"/>
      <c r="AK120" s="9"/>
      <c r="AL120" s="9"/>
      <c r="AM120" s="9"/>
      <c r="AP120" s="9"/>
      <c r="AQ120" s="9"/>
      <c r="AR120" s="9"/>
      <c r="AS120" s="9"/>
      <c r="AT120" s="9"/>
      <c r="AU120" s="9"/>
      <c r="AV120" s="9"/>
      <c r="AW120" s="9"/>
    </row>
    <row r="121" spans="1:50" x14ac:dyDescent="0.45">
      <c r="B121" s="9"/>
      <c r="C121" s="9"/>
      <c r="D121" s="9"/>
      <c r="E121" s="9"/>
      <c r="F121" s="9"/>
      <c r="G121" s="9"/>
      <c r="H121" s="9"/>
      <c r="I121" s="9"/>
      <c r="L121" s="9"/>
      <c r="M121" s="9"/>
      <c r="N121" s="9"/>
      <c r="O121" s="9"/>
      <c r="P121" s="9"/>
      <c r="Q121" s="9"/>
      <c r="R121" s="9"/>
      <c r="S121" s="9"/>
      <c r="V121" s="9"/>
      <c r="W121" s="9"/>
      <c r="X121" s="9"/>
      <c r="Y121" s="9"/>
      <c r="Z121" s="9"/>
      <c r="AA121" s="9"/>
      <c r="AB121" s="9"/>
      <c r="AC121" s="9"/>
      <c r="AF121" s="9"/>
      <c r="AG121" s="9"/>
      <c r="AH121" s="9"/>
      <c r="AI121" s="9"/>
      <c r="AJ121" s="9"/>
      <c r="AK121" s="9"/>
      <c r="AL121" s="9"/>
      <c r="AM121" s="9"/>
      <c r="AP121" s="9"/>
      <c r="AQ121" s="9"/>
      <c r="AR121" s="9"/>
      <c r="AS121" s="9"/>
      <c r="AT121" s="9"/>
      <c r="AU121" s="9"/>
      <c r="AV121" s="9"/>
      <c r="AW121" s="9"/>
    </row>
    <row r="122" spans="1:50" x14ac:dyDescent="0.45">
      <c r="B122" s="9"/>
      <c r="C122" s="9"/>
      <c r="D122" s="9"/>
      <c r="E122" s="9"/>
      <c r="F122" s="9"/>
      <c r="G122" s="9"/>
      <c r="H122" s="9"/>
      <c r="I122" s="9"/>
      <c r="L122" s="9"/>
      <c r="M122" s="9"/>
      <c r="N122" s="9"/>
      <c r="O122" s="9"/>
      <c r="P122" s="9"/>
      <c r="Q122" s="9"/>
      <c r="R122" s="9"/>
      <c r="S122" s="9"/>
      <c r="V122" s="9"/>
      <c r="W122" s="9"/>
      <c r="X122" s="9"/>
      <c r="Y122" s="9"/>
      <c r="Z122" s="9"/>
      <c r="AA122" s="9"/>
      <c r="AB122" s="9"/>
      <c r="AC122" s="9"/>
      <c r="AF122" s="9"/>
      <c r="AG122" s="9"/>
      <c r="AH122" s="9"/>
      <c r="AI122" s="9"/>
      <c r="AJ122" s="9"/>
      <c r="AK122" s="9"/>
      <c r="AL122" s="9"/>
      <c r="AM122" s="9"/>
      <c r="AP122" s="9"/>
      <c r="AQ122" s="9"/>
      <c r="AR122" s="9"/>
      <c r="AS122" s="9"/>
      <c r="AT122" s="9"/>
      <c r="AU122" s="9"/>
      <c r="AV122" s="9"/>
      <c r="AW122" s="9"/>
    </row>
    <row r="125" spans="1:50" x14ac:dyDescent="0.4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</row>
    <row r="126" spans="1:50" x14ac:dyDescent="0.4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</row>
    <row r="127" spans="1:50" x14ac:dyDescent="0.4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</row>
    <row r="128" spans="1:50" x14ac:dyDescent="0.4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</row>
    <row r="129" spans="1:50" x14ac:dyDescent="0.4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</row>
    <row r="130" spans="1:50" x14ac:dyDescent="0.4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</row>
    <row r="131" spans="1:50" x14ac:dyDescent="0.4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</row>
    <row r="132" spans="1:50" x14ac:dyDescent="0.4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</row>
    <row r="133" spans="1:50" x14ac:dyDescent="0.4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</row>
    <row r="134" spans="1:50" x14ac:dyDescent="0.4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</row>
    <row r="135" spans="1:50" x14ac:dyDescent="0.4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</row>
    <row r="136" spans="1:50" x14ac:dyDescent="0.4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</row>
    <row r="137" spans="1:50" x14ac:dyDescent="0.4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</row>
    <row r="138" spans="1:50" x14ac:dyDescent="0.4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</row>
    <row r="139" spans="1:50" x14ac:dyDescent="0.4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</row>
    <row r="140" spans="1:50" x14ac:dyDescent="0.4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</row>
    <row r="141" spans="1:50" x14ac:dyDescent="0.4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</row>
    <row r="142" spans="1:50" x14ac:dyDescent="0.4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</row>
    <row r="143" spans="1:50" x14ac:dyDescent="0.4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</row>
    <row r="144" spans="1:50" x14ac:dyDescent="0.4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</row>
    <row r="145" spans="1:50" x14ac:dyDescent="0.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</row>
    <row r="146" spans="1:50" x14ac:dyDescent="0.4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</row>
    <row r="147" spans="1:50" x14ac:dyDescent="0.4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</row>
    <row r="148" spans="1:50" x14ac:dyDescent="0.4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</row>
    <row r="149" spans="1:50" x14ac:dyDescent="0.4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</row>
    <row r="150" spans="1:50" x14ac:dyDescent="0.4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</row>
    <row r="151" spans="1:50" x14ac:dyDescent="0.4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</row>
    <row r="152" spans="1:50" x14ac:dyDescent="0.4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</row>
    <row r="153" spans="1:50" x14ac:dyDescent="0.4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</row>
    <row r="154" spans="1:50" x14ac:dyDescent="0.4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</row>
    <row r="155" spans="1:50" x14ac:dyDescent="0.4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</row>
    <row r="156" spans="1:50" x14ac:dyDescent="0.4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</row>
    <row r="157" spans="1:50" x14ac:dyDescent="0.4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</row>
    <row r="158" spans="1:50" x14ac:dyDescent="0.4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</row>
    <row r="159" spans="1:50" x14ac:dyDescent="0.4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</row>
    <row r="160" spans="1:50" x14ac:dyDescent="0.4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</row>
    <row r="161" spans="1:50" x14ac:dyDescent="0.4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</row>
    <row r="162" spans="1:50" x14ac:dyDescent="0.4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</row>
    <row r="163" spans="1:50" x14ac:dyDescent="0.4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</row>
    <row r="164" spans="1:50" x14ac:dyDescent="0.4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</row>
    <row r="165" spans="1:50" x14ac:dyDescent="0.4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</row>
    <row r="166" spans="1:50" x14ac:dyDescent="0.4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</row>
    <row r="168" spans="1:50" x14ac:dyDescent="0.45">
      <c r="H168" s="9"/>
    </row>
    <row r="174" spans="1:50" x14ac:dyDescent="0.45">
      <c r="H174" s="9"/>
    </row>
    <row r="180" spans="8:8" x14ac:dyDescent="0.45">
      <c r="H180" s="9"/>
    </row>
    <row r="186" spans="8:8" x14ac:dyDescent="0.45">
      <c r="H186" s="9"/>
    </row>
    <row r="192" spans="8:8" x14ac:dyDescent="0.45">
      <c r="H192" s="9"/>
    </row>
    <row r="198" spans="8:29" x14ac:dyDescent="0.45">
      <c r="H198" s="9"/>
    </row>
    <row r="204" spans="8:29" x14ac:dyDescent="0.45">
      <c r="H204" s="9"/>
    </row>
    <row r="208" spans="8:29" x14ac:dyDescent="0.45">
      <c r="Z208" s="9"/>
      <c r="AA208" s="9"/>
      <c r="AB208" s="9"/>
      <c r="AC208" s="9"/>
    </row>
    <row r="210" spans="8:8" x14ac:dyDescent="0.45">
      <c r="H210" s="9"/>
    </row>
    <row r="216" spans="8:8" x14ac:dyDescent="0.45">
      <c r="H216" s="9"/>
    </row>
    <row r="228" spans="7:8" x14ac:dyDescent="0.45">
      <c r="G228" s="9"/>
      <c r="H228" s="9"/>
    </row>
    <row r="234" spans="7:8" x14ac:dyDescent="0.45">
      <c r="H234" s="9"/>
    </row>
    <row r="240" spans="7:8" x14ac:dyDescent="0.45">
      <c r="H240" s="9"/>
    </row>
    <row r="252" spans="7:8" x14ac:dyDescent="0.45">
      <c r="G252" s="9"/>
      <c r="H252" s="9"/>
    </row>
    <row r="258" spans="8:8" x14ac:dyDescent="0.45">
      <c r="H258" s="9"/>
    </row>
    <row r="264" spans="8:8" x14ac:dyDescent="0.45">
      <c r="H264" s="9"/>
    </row>
    <row r="276" spans="7:8" x14ac:dyDescent="0.45">
      <c r="G276" s="9"/>
      <c r="H276" s="9"/>
    </row>
    <row r="282" spans="7:8" x14ac:dyDescent="0.45">
      <c r="H282" s="9"/>
    </row>
    <row r="288" spans="7:8" x14ac:dyDescent="0.45">
      <c r="H288" s="9"/>
    </row>
    <row r="300" spans="8:8" x14ac:dyDescent="0.45">
      <c r="H300" s="9"/>
    </row>
    <row r="306" spans="7:8" x14ac:dyDescent="0.45">
      <c r="H306" s="9"/>
    </row>
    <row r="318" spans="7:8" x14ac:dyDescent="0.45">
      <c r="G318" s="9"/>
      <c r="H318" s="9"/>
    </row>
    <row r="324" spans="8:8" x14ac:dyDescent="0.45">
      <c r="H324" s="9"/>
    </row>
    <row r="330" spans="8:8" x14ac:dyDescent="0.45">
      <c r="H330" s="9"/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EF3DE-5378-450F-AEE3-D89CE0202446}">
  <dimension ref="B1:AZ114"/>
  <sheetViews>
    <sheetView topLeftCell="T46" zoomScale="55" zoomScaleNormal="55" workbookViewId="0">
      <selection activeCell="L92" sqref="L92"/>
    </sheetView>
  </sheetViews>
  <sheetFormatPr defaultRowHeight="17" x14ac:dyDescent="0.45"/>
  <cols>
    <col min="4" max="5" width="12.5" bestFit="1" customWidth="1"/>
    <col min="14" max="17" width="12.08203125" bestFit="1" customWidth="1"/>
    <col min="18" max="18" width="10.33203125" bestFit="1" customWidth="1"/>
    <col min="19" max="21" width="12.08203125" bestFit="1" customWidth="1"/>
    <col min="24" max="24" width="12.08203125" bestFit="1" customWidth="1"/>
    <col min="25" max="25" width="11.25" bestFit="1" customWidth="1"/>
    <col min="27" max="27" width="12.33203125" bestFit="1" customWidth="1"/>
    <col min="34" max="34" width="12.08203125" bestFit="1" customWidth="1"/>
    <col min="44" max="44" width="12.5" bestFit="1" customWidth="1"/>
  </cols>
  <sheetData>
    <row r="1" spans="2:17" ht="17.5" thickBot="1" x14ac:dyDescent="0.5"/>
    <row r="2" spans="2:17" ht="17.5" thickBot="1" x14ac:dyDescent="0.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spans="2:17" x14ac:dyDescent="0.45">
      <c r="B3" s="4"/>
      <c r="C3" s="1" t="s">
        <v>0</v>
      </c>
      <c r="D3" s="3"/>
      <c r="F3" s="1" t="s">
        <v>1</v>
      </c>
      <c r="G3" s="3"/>
      <c r="I3" s="1" t="s">
        <v>2</v>
      </c>
      <c r="J3" s="3"/>
      <c r="L3" s="1" t="s">
        <v>3</v>
      </c>
      <c r="M3" s="3"/>
      <c r="O3" s="1" t="s">
        <v>4</v>
      </c>
      <c r="P3" s="3"/>
      <c r="Q3" s="5"/>
    </row>
    <row r="4" spans="2:17" ht="17.5" thickBot="1" x14ac:dyDescent="0.5">
      <c r="B4" s="4"/>
      <c r="C4" s="31" t="s">
        <v>5</v>
      </c>
      <c r="D4" s="5">
        <v>0.625</v>
      </c>
      <c r="F4" s="4" t="s">
        <v>6</v>
      </c>
      <c r="G4" s="36">
        <v>47.5625</v>
      </c>
      <c r="H4" s="20"/>
      <c r="I4" s="6" t="s">
        <v>7</v>
      </c>
      <c r="J4" s="7">
        <v>1.05</v>
      </c>
      <c r="L4" s="4" t="s">
        <v>8</v>
      </c>
      <c r="M4" s="5">
        <v>8</v>
      </c>
      <c r="O4" s="4" t="s">
        <v>9</v>
      </c>
      <c r="P4" s="5">
        <f>J4*(G8-G14)*(M4/M5)*D8</f>
        <v>327.38231367187495</v>
      </c>
      <c r="Q4" s="5"/>
    </row>
    <row r="5" spans="2:17" x14ac:dyDescent="0.45">
      <c r="B5" s="4"/>
      <c r="C5" s="31" t="s">
        <v>10</v>
      </c>
      <c r="D5" s="5">
        <v>55</v>
      </c>
      <c r="F5" s="4" t="s">
        <v>11</v>
      </c>
      <c r="G5" s="5"/>
      <c r="H5" s="21"/>
      <c r="L5" s="4" t="s">
        <v>12</v>
      </c>
      <c r="M5" s="5">
        <v>4</v>
      </c>
      <c r="O5" s="4" t="s">
        <v>13</v>
      </c>
      <c r="P5" s="5">
        <f>J4*(G9-G14)*(M4/M5)*D8</f>
        <v>219.30843867187497</v>
      </c>
      <c r="Q5" s="5"/>
    </row>
    <row r="6" spans="2:17" x14ac:dyDescent="0.45">
      <c r="B6" s="4"/>
      <c r="C6" s="31" t="s">
        <v>14</v>
      </c>
      <c r="D6" s="5">
        <v>30</v>
      </c>
      <c r="F6" s="4" t="s">
        <v>15</v>
      </c>
      <c r="G6" s="5">
        <v>44.875</v>
      </c>
      <c r="H6" s="21"/>
      <c r="L6" s="4" t="s">
        <v>16</v>
      </c>
      <c r="M6" s="5">
        <v>0.33</v>
      </c>
      <c r="O6" s="4" t="s">
        <v>17</v>
      </c>
      <c r="P6" s="5">
        <f>J4*(G12-G13)*D5</f>
        <v>40.0133056640625</v>
      </c>
      <c r="Q6" s="5"/>
    </row>
    <row r="7" spans="2:17" ht="17.5" thickBot="1" x14ac:dyDescent="0.5">
      <c r="B7" s="4"/>
      <c r="C7" s="31" t="s">
        <v>18</v>
      </c>
      <c r="D7" s="5">
        <v>90</v>
      </c>
      <c r="F7" s="31" t="s">
        <v>19</v>
      </c>
      <c r="G7" s="5">
        <v>47.84375</v>
      </c>
      <c r="H7" s="21"/>
      <c r="K7" s="22"/>
      <c r="L7" t="s">
        <v>20</v>
      </c>
      <c r="M7" s="22">
        <v>0.65</v>
      </c>
      <c r="O7" s="6" t="s">
        <v>21</v>
      </c>
      <c r="P7" s="7">
        <f>J4*(G11-G6)*D6</f>
        <v>84.65625</v>
      </c>
      <c r="Q7" s="5"/>
    </row>
    <row r="8" spans="2:17" ht="17.5" thickBot="1" x14ac:dyDescent="0.5">
      <c r="B8" s="4"/>
      <c r="C8" s="23" t="s">
        <v>22</v>
      </c>
      <c r="D8" s="7">
        <f>D4/2</f>
        <v>0.3125</v>
      </c>
      <c r="F8" s="31" t="s">
        <v>23</v>
      </c>
      <c r="G8" s="5">
        <v>547.75109999999995</v>
      </c>
      <c r="H8" s="21"/>
      <c r="L8" s="4" t="s">
        <v>24</v>
      </c>
      <c r="M8" s="22">
        <v>1</v>
      </c>
      <c r="Q8" s="5"/>
    </row>
    <row r="9" spans="2:17" ht="17.5" thickBot="1" x14ac:dyDescent="0.5">
      <c r="B9" s="4"/>
      <c r="F9" s="32" t="s">
        <v>25</v>
      </c>
      <c r="G9" s="7">
        <v>383.06709999999998</v>
      </c>
      <c r="H9" s="21"/>
      <c r="L9" s="6" t="s">
        <v>26</v>
      </c>
      <c r="M9" s="7">
        <v>16</v>
      </c>
      <c r="O9" s="1" t="s">
        <v>27</v>
      </c>
      <c r="P9" s="3"/>
      <c r="Q9" s="5"/>
    </row>
    <row r="10" spans="2:17" ht="17.5" thickBot="1" x14ac:dyDescent="0.5">
      <c r="B10" s="4"/>
      <c r="F10" s="58"/>
      <c r="G10" s="58"/>
      <c r="O10" s="4" t="s">
        <v>28</v>
      </c>
      <c r="P10" s="5">
        <f>(G4-(G7*D5/D7+G6*(D7-D5)/D7))*J4</f>
        <v>0.91692708333333006</v>
      </c>
      <c r="Q10" s="5"/>
    </row>
    <row r="11" spans="2:17" ht="17.5" thickBot="1" x14ac:dyDescent="0.5">
      <c r="B11" s="4"/>
      <c r="E11" s="22"/>
      <c r="F11" t="s">
        <v>29</v>
      </c>
      <c r="G11" s="5">
        <f>G4</f>
        <v>47.5625</v>
      </c>
      <c r="O11" s="4" t="s">
        <v>30</v>
      </c>
      <c r="P11" s="5">
        <f>(G8-G7)*J4</f>
        <v>524.90271749999999</v>
      </c>
      <c r="Q11" s="5"/>
    </row>
    <row r="12" spans="2:17" x14ac:dyDescent="0.45">
      <c r="B12" s="4"/>
      <c r="E12" s="22"/>
      <c r="F12" t="s">
        <v>31</v>
      </c>
      <c r="G12" s="5">
        <f>(G4*(D6+D5)-G11*D6)*(1/D5)</f>
        <v>47.5625</v>
      </c>
      <c r="H12" s="57"/>
      <c r="I12" s="11" t="s">
        <v>67</v>
      </c>
      <c r="J12" s="11" t="s">
        <v>68</v>
      </c>
      <c r="K12" s="11" t="s">
        <v>69</v>
      </c>
      <c r="L12" s="26" t="s">
        <v>70</v>
      </c>
      <c r="O12" s="4" t="s">
        <v>32</v>
      </c>
      <c r="P12" s="5">
        <f>(G9-G7)*J4</f>
        <v>351.98451749999998</v>
      </c>
      <c r="Q12" s="5"/>
    </row>
    <row r="13" spans="2:17" ht="17.5" thickBot="1" x14ac:dyDescent="0.5">
      <c r="B13" s="4"/>
      <c r="E13" s="22"/>
      <c r="F13" t="s">
        <v>33</v>
      </c>
      <c r="G13" s="5">
        <f>(1/M9)*(G7+(M9-1)*(M7*(G7-G6)+G6))</f>
        <v>46.86962890625</v>
      </c>
      <c r="H13" s="57"/>
      <c r="I13" s="28">
        <v>1.1000000000000001</v>
      </c>
      <c r="J13" s="23">
        <v>1.1000000000000001</v>
      </c>
      <c r="K13" s="23">
        <v>1.18</v>
      </c>
      <c r="L13" s="24">
        <v>1.22</v>
      </c>
      <c r="N13" s="22"/>
      <c r="O13" t="s">
        <v>34</v>
      </c>
      <c r="P13" s="5">
        <f>J4*G7</f>
        <v>50.235937499999999</v>
      </c>
      <c r="Q13" s="5"/>
    </row>
    <row r="14" spans="2:17" x14ac:dyDescent="0.45">
      <c r="B14" s="4"/>
      <c r="E14" s="22"/>
      <c r="F14" t="s">
        <v>35</v>
      </c>
      <c r="G14" s="5">
        <f>G7+G7-G15</f>
        <v>48.8828125</v>
      </c>
      <c r="O14" s="4" t="s">
        <v>17</v>
      </c>
      <c r="P14" s="5">
        <f>P10*D5</f>
        <v>50.430989583333151</v>
      </c>
      <c r="Q14" s="5"/>
    </row>
    <row r="15" spans="2:17" ht="17.5" thickBot="1" x14ac:dyDescent="0.5">
      <c r="B15" s="4"/>
      <c r="E15" s="22"/>
      <c r="F15" s="28" t="s">
        <v>36</v>
      </c>
      <c r="G15" s="7">
        <f>M7*(G7-G6)+G6</f>
        <v>46.8046875</v>
      </c>
      <c r="O15" s="4" t="s">
        <v>37</v>
      </c>
      <c r="P15" s="5">
        <f>P11*M4/M5*D8</f>
        <v>328.06419843750001</v>
      </c>
      <c r="Q15" s="5"/>
    </row>
    <row r="16" spans="2:17" ht="17.5" thickBot="1" x14ac:dyDescent="0.5">
      <c r="B16" s="4"/>
      <c r="O16" s="6" t="s">
        <v>13</v>
      </c>
      <c r="P16" s="7">
        <f>P12*M4/M5*D8</f>
        <v>219.9903234375</v>
      </c>
      <c r="Q16" s="5"/>
    </row>
    <row r="17" spans="2:34" x14ac:dyDescent="0.45">
      <c r="B17" s="4"/>
      <c r="Q17" s="5"/>
    </row>
    <row r="18" spans="2:34" ht="17.5" thickBot="1" x14ac:dyDescent="0.5">
      <c r="B18" s="6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7"/>
    </row>
    <row r="24" spans="2:34" ht="17.5" thickBot="1" x14ac:dyDescent="0.5">
      <c r="B24" s="10" t="s">
        <v>58</v>
      </c>
      <c r="L24" s="10" t="s">
        <v>59</v>
      </c>
      <c r="V24" s="10" t="s">
        <v>60</v>
      </c>
      <c r="AF24" s="10" t="s">
        <v>61</v>
      </c>
    </row>
    <row r="25" spans="2:34" x14ac:dyDescent="0.45">
      <c r="B25" s="17"/>
      <c r="C25" s="18"/>
      <c r="D25" s="19" t="s">
        <v>72</v>
      </c>
      <c r="L25" s="17"/>
      <c r="M25" s="18"/>
      <c r="N25" s="19" t="s">
        <v>72</v>
      </c>
      <c r="V25" s="17"/>
      <c r="W25" s="18"/>
      <c r="X25" s="19" t="s">
        <v>72</v>
      </c>
      <c r="AF25" s="17"/>
      <c r="AG25" s="18"/>
      <c r="AH25" s="19" t="s">
        <v>72</v>
      </c>
    </row>
    <row r="26" spans="2:34" x14ac:dyDescent="0.45">
      <c r="B26" s="12" t="s">
        <v>38</v>
      </c>
      <c r="C26" s="9" t="s">
        <v>39</v>
      </c>
      <c r="D26" s="13">
        <v>74747430</v>
      </c>
      <c r="L26" s="12" t="s">
        <v>38</v>
      </c>
      <c r="M26" s="9" t="s">
        <v>39</v>
      </c>
      <c r="N26" s="13">
        <v>74860666</v>
      </c>
      <c r="V26" s="12" t="s">
        <v>38</v>
      </c>
      <c r="W26" s="9" t="s">
        <v>39</v>
      </c>
      <c r="X26" s="13">
        <v>193837182</v>
      </c>
      <c r="AF26" s="12" t="s">
        <v>38</v>
      </c>
      <c r="AG26" s="9" t="s">
        <v>39</v>
      </c>
      <c r="AH26" s="13">
        <v>93416094</v>
      </c>
    </row>
    <row r="27" spans="2:34" x14ac:dyDescent="0.45">
      <c r="B27" s="12" t="s">
        <v>38</v>
      </c>
      <c r="C27" s="9" t="s">
        <v>40</v>
      </c>
      <c r="D27" s="13">
        <v>118665</v>
      </c>
      <c r="L27" s="12" t="s">
        <v>38</v>
      </c>
      <c r="M27" s="9" t="s">
        <v>40</v>
      </c>
      <c r="N27" s="13">
        <v>119689</v>
      </c>
      <c r="V27" s="12" t="s">
        <v>38</v>
      </c>
      <c r="W27" s="9" t="s">
        <v>40</v>
      </c>
      <c r="X27" s="13">
        <v>1207920</v>
      </c>
      <c r="AF27" s="12" t="s">
        <v>38</v>
      </c>
      <c r="AG27" s="9" t="s">
        <v>40</v>
      </c>
      <c r="AH27" s="13">
        <v>17016</v>
      </c>
    </row>
    <row r="28" spans="2:34" x14ac:dyDescent="0.45">
      <c r="B28" s="12" t="s">
        <v>38</v>
      </c>
      <c r="C28" s="9" t="s">
        <v>41</v>
      </c>
      <c r="D28" s="13">
        <v>11030</v>
      </c>
      <c r="L28" s="12" t="s">
        <v>38</v>
      </c>
      <c r="M28" s="9" t="s">
        <v>41</v>
      </c>
      <c r="N28" s="13">
        <v>11542</v>
      </c>
      <c r="V28" s="12" t="s">
        <v>38</v>
      </c>
      <c r="W28" s="9" t="s">
        <v>41</v>
      </c>
      <c r="X28" s="13">
        <v>468196</v>
      </c>
      <c r="AF28" s="12" t="s">
        <v>38</v>
      </c>
      <c r="AG28" s="9" t="s">
        <v>41</v>
      </c>
      <c r="AH28" s="13">
        <v>173328</v>
      </c>
    </row>
    <row r="29" spans="2:34" x14ac:dyDescent="0.45">
      <c r="B29" s="12" t="s">
        <v>38</v>
      </c>
      <c r="C29" s="9" t="s">
        <v>42</v>
      </c>
      <c r="D29" s="13">
        <v>860197</v>
      </c>
      <c r="L29" s="12" t="s">
        <v>38</v>
      </c>
      <c r="M29" s="9" t="s">
        <v>42</v>
      </c>
      <c r="N29" s="13">
        <v>865305</v>
      </c>
      <c r="V29" s="12" t="s">
        <v>38</v>
      </c>
      <c r="W29" s="9" t="s">
        <v>42</v>
      </c>
      <c r="X29" s="13">
        <v>6152320</v>
      </c>
      <c r="AF29" s="12" t="s">
        <v>38</v>
      </c>
      <c r="AG29" s="9" t="s">
        <v>42</v>
      </c>
      <c r="AH29" s="13">
        <v>10628057</v>
      </c>
    </row>
    <row r="30" spans="2:34" x14ac:dyDescent="0.45">
      <c r="B30" s="12" t="s">
        <v>38</v>
      </c>
      <c r="C30" s="9" t="s">
        <v>43</v>
      </c>
      <c r="D30" s="13">
        <v>14749229</v>
      </c>
      <c r="L30" s="12" t="s">
        <v>38</v>
      </c>
      <c r="M30" s="9" t="s">
        <v>43</v>
      </c>
      <c r="N30" s="13">
        <v>14761516</v>
      </c>
      <c r="V30" s="12" t="s">
        <v>38</v>
      </c>
      <c r="W30" s="9" t="s">
        <v>43</v>
      </c>
      <c r="X30" s="13">
        <v>57529816</v>
      </c>
      <c r="AF30" s="12" t="s">
        <v>38</v>
      </c>
      <c r="AG30" s="9" t="s">
        <v>43</v>
      </c>
      <c r="AH30" s="13">
        <v>31022760</v>
      </c>
    </row>
    <row r="31" spans="2:34" x14ac:dyDescent="0.45">
      <c r="B31" s="12" t="s">
        <v>38</v>
      </c>
      <c r="C31" s="9" t="s">
        <v>44</v>
      </c>
      <c r="D31" s="13">
        <v>286280019</v>
      </c>
      <c r="L31" s="12" t="s">
        <v>38</v>
      </c>
      <c r="M31" s="9" t="s">
        <v>44</v>
      </c>
      <c r="N31" s="13">
        <v>286532604</v>
      </c>
      <c r="V31" s="12" t="s">
        <v>38</v>
      </c>
      <c r="W31" s="9" t="s">
        <v>44</v>
      </c>
      <c r="X31" s="13">
        <v>18885522</v>
      </c>
      <c r="AF31" s="12" t="s">
        <v>38</v>
      </c>
      <c r="AG31" s="9" t="s">
        <v>44</v>
      </c>
      <c r="AH31" s="13">
        <v>8454346436</v>
      </c>
    </row>
    <row r="32" spans="2:34" x14ac:dyDescent="0.45">
      <c r="B32" s="12" t="s">
        <v>45</v>
      </c>
      <c r="C32" s="9" t="s">
        <v>46</v>
      </c>
      <c r="D32" s="13">
        <v>22670</v>
      </c>
      <c r="L32" s="12" t="s">
        <v>45</v>
      </c>
      <c r="M32" s="9" t="s">
        <v>46</v>
      </c>
      <c r="N32" s="13">
        <v>23182</v>
      </c>
      <c r="V32" s="12" t="s">
        <v>45</v>
      </c>
      <c r="W32" s="9" t="s">
        <v>46</v>
      </c>
      <c r="X32" s="13">
        <v>630848</v>
      </c>
      <c r="AF32" s="12" t="s">
        <v>45</v>
      </c>
      <c r="AG32" s="9" t="s">
        <v>46</v>
      </c>
      <c r="AH32" s="13">
        <v>0</v>
      </c>
    </row>
    <row r="33" spans="2:34" x14ac:dyDescent="0.45">
      <c r="B33" s="12" t="s">
        <v>45</v>
      </c>
      <c r="C33" s="9" t="s">
        <v>47</v>
      </c>
      <c r="D33" s="13">
        <v>15236</v>
      </c>
      <c r="L33" s="12" t="s">
        <v>45</v>
      </c>
      <c r="M33" s="9" t="s">
        <v>47</v>
      </c>
      <c r="N33" s="13">
        <v>16260</v>
      </c>
      <c r="V33" s="12" t="s">
        <v>45</v>
      </c>
      <c r="W33" s="9" t="s">
        <v>47</v>
      </c>
      <c r="X33" s="13">
        <v>262144</v>
      </c>
      <c r="AF33" s="12" t="s">
        <v>45</v>
      </c>
      <c r="AG33" s="9" t="s">
        <v>47</v>
      </c>
      <c r="AH33" s="13">
        <v>0</v>
      </c>
    </row>
    <row r="34" spans="2:34" x14ac:dyDescent="0.45">
      <c r="B34" s="12" t="s">
        <v>45</v>
      </c>
      <c r="C34" s="9" t="s">
        <v>48</v>
      </c>
      <c r="D34" s="13">
        <v>129555747</v>
      </c>
      <c r="L34" s="12" t="s">
        <v>45</v>
      </c>
      <c r="M34" s="9" t="s">
        <v>48</v>
      </c>
      <c r="N34" s="13">
        <v>129581347</v>
      </c>
      <c r="V34" s="12" t="s">
        <v>45</v>
      </c>
      <c r="W34" s="9" t="s">
        <v>48</v>
      </c>
      <c r="X34" s="13">
        <v>2426649374</v>
      </c>
      <c r="AF34" s="12" t="s">
        <v>45</v>
      </c>
      <c r="AG34" s="9" t="s">
        <v>48</v>
      </c>
      <c r="AH34" s="13">
        <v>45753342</v>
      </c>
    </row>
    <row r="35" spans="2:34" x14ac:dyDescent="0.45">
      <c r="B35" s="12" t="s">
        <v>49</v>
      </c>
      <c r="C35" s="9" t="s">
        <v>50</v>
      </c>
      <c r="D35" s="13">
        <v>19671192</v>
      </c>
      <c r="L35" s="12" t="s">
        <v>49</v>
      </c>
      <c r="M35" s="9" t="s">
        <v>50</v>
      </c>
      <c r="N35" s="13">
        <v>19671704</v>
      </c>
      <c r="V35" s="12" t="s">
        <v>49</v>
      </c>
      <c r="W35" s="9" t="s">
        <v>50</v>
      </c>
      <c r="X35" s="13">
        <v>42477164</v>
      </c>
      <c r="AF35" s="12" t="s">
        <v>49</v>
      </c>
      <c r="AG35" s="9" t="s">
        <v>50</v>
      </c>
      <c r="AH35" s="13">
        <v>19377986</v>
      </c>
    </row>
    <row r="36" spans="2:34" x14ac:dyDescent="0.45">
      <c r="B36" s="12" t="s">
        <v>49</v>
      </c>
      <c r="C36" s="9" t="s">
        <v>51</v>
      </c>
      <c r="D36" s="13">
        <v>196648914</v>
      </c>
      <c r="L36" s="12" t="s">
        <v>49</v>
      </c>
      <c r="M36" s="9" t="s">
        <v>51</v>
      </c>
      <c r="N36" s="13">
        <v>196652934</v>
      </c>
      <c r="V36" s="12" t="s">
        <v>49</v>
      </c>
      <c r="W36" s="9" t="s">
        <v>51</v>
      </c>
      <c r="X36" s="13">
        <v>419786926</v>
      </c>
      <c r="AF36" s="12" t="s">
        <v>49</v>
      </c>
      <c r="AG36" s="9" t="s">
        <v>51</v>
      </c>
      <c r="AH36" s="13">
        <v>28146738</v>
      </c>
    </row>
    <row r="37" spans="2:34" x14ac:dyDescent="0.45">
      <c r="B37" s="12" t="s">
        <v>49</v>
      </c>
      <c r="C37" s="9" t="s">
        <v>52</v>
      </c>
      <c r="D37" s="13">
        <v>609771156</v>
      </c>
      <c r="L37" s="12" t="s">
        <v>49</v>
      </c>
      <c r="M37" s="9" t="s">
        <v>52</v>
      </c>
      <c r="N37" s="13">
        <v>609781325</v>
      </c>
      <c r="V37" s="12" t="s">
        <v>49</v>
      </c>
      <c r="W37" s="9" t="s">
        <v>52</v>
      </c>
      <c r="X37" s="13">
        <v>1265518622</v>
      </c>
      <c r="AF37" s="12" t="s">
        <v>49</v>
      </c>
      <c r="AG37" s="9" t="s">
        <v>52</v>
      </c>
      <c r="AH37" s="13">
        <v>63724772</v>
      </c>
    </row>
    <row r="38" spans="2:34" x14ac:dyDescent="0.45">
      <c r="B38" s="12" t="s">
        <v>49</v>
      </c>
      <c r="C38" s="9" t="s">
        <v>74</v>
      </c>
      <c r="D38" s="13">
        <v>1021396</v>
      </c>
      <c r="L38" s="12" t="s">
        <v>49</v>
      </c>
      <c r="M38" s="9" t="s">
        <v>53</v>
      </c>
      <c r="N38" s="13">
        <v>1024980</v>
      </c>
      <c r="V38" s="12" t="s">
        <v>49</v>
      </c>
      <c r="W38" s="9" t="s">
        <v>53</v>
      </c>
      <c r="X38" s="13">
        <v>10151264</v>
      </c>
      <c r="AF38" s="12" t="s">
        <v>49</v>
      </c>
      <c r="AG38" s="9" t="s">
        <v>53</v>
      </c>
      <c r="AH38" s="13">
        <v>3381944</v>
      </c>
    </row>
    <row r="39" spans="2:34" x14ac:dyDescent="0.45">
      <c r="B39" s="12" t="s">
        <v>54</v>
      </c>
      <c r="C39" s="9" t="s">
        <v>55</v>
      </c>
      <c r="D39" s="13">
        <v>4213232</v>
      </c>
      <c r="L39" s="12" t="s">
        <v>54</v>
      </c>
      <c r="M39" s="9" t="s">
        <v>55</v>
      </c>
      <c r="N39" s="13">
        <v>4214256</v>
      </c>
      <c r="V39" s="12" t="s">
        <v>54</v>
      </c>
      <c r="W39" s="9" t="s">
        <v>55</v>
      </c>
      <c r="X39" s="13">
        <v>12517024</v>
      </c>
      <c r="AF39" s="12" t="s">
        <v>54</v>
      </c>
      <c r="AG39" s="9" t="s">
        <v>55</v>
      </c>
      <c r="AH39" s="13">
        <v>1024</v>
      </c>
    </row>
    <row r="40" spans="2:34" x14ac:dyDescent="0.45">
      <c r="B40" s="12" t="s">
        <v>54</v>
      </c>
      <c r="C40" s="9" t="s">
        <v>56</v>
      </c>
      <c r="D40" s="13">
        <v>4213225</v>
      </c>
      <c r="L40" s="12" t="s">
        <v>54</v>
      </c>
      <c r="M40" s="9" t="s">
        <v>56</v>
      </c>
      <c r="N40" s="13">
        <v>4214249</v>
      </c>
      <c r="V40" s="12" t="s">
        <v>54</v>
      </c>
      <c r="W40" s="9" t="s">
        <v>56</v>
      </c>
      <c r="X40" s="13">
        <v>12518552</v>
      </c>
      <c r="AF40" s="12" t="s">
        <v>54</v>
      </c>
      <c r="AG40" s="9" t="s">
        <v>56</v>
      </c>
      <c r="AH40" s="13">
        <v>1024</v>
      </c>
    </row>
    <row r="41" spans="2:34" ht="17.5" thickBot="1" x14ac:dyDescent="0.5">
      <c r="B41" s="14" t="s">
        <v>54</v>
      </c>
      <c r="C41" s="15" t="s">
        <v>57</v>
      </c>
      <c r="D41" s="16">
        <v>15109621</v>
      </c>
      <c r="L41" s="14" t="s">
        <v>54</v>
      </c>
      <c r="M41" s="15" t="s">
        <v>57</v>
      </c>
      <c r="N41" s="16">
        <v>15239541</v>
      </c>
      <c r="V41" s="14" t="s">
        <v>54</v>
      </c>
      <c r="W41" s="15" t="s">
        <v>57</v>
      </c>
      <c r="X41" s="16">
        <v>538918912</v>
      </c>
      <c r="AF41" s="14" t="s">
        <v>54</v>
      </c>
      <c r="AG41" s="15" t="s">
        <v>57</v>
      </c>
      <c r="AH41" s="16">
        <v>481669550</v>
      </c>
    </row>
    <row r="45" spans="2:34" x14ac:dyDescent="0.45">
      <c r="AH45" s="9"/>
    </row>
    <row r="46" spans="2:34" x14ac:dyDescent="0.45">
      <c r="AH46" s="9"/>
    </row>
    <row r="51" spans="2:52" x14ac:dyDescent="0.35">
      <c r="AH51" s="33"/>
    </row>
    <row r="58" spans="2:52" ht="17.5" thickBot="1" x14ac:dyDescent="0.5">
      <c r="B58" s="10" t="s">
        <v>62</v>
      </c>
      <c r="L58" s="10" t="s">
        <v>63</v>
      </c>
      <c r="V58" s="10" t="s">
        <v>64</v>
      </c>
      <c r="AF58" s="10" t="s">
        <v>65</v>
      </c>
      <c r="AP58" s="10" t="s">
        <v>66</v>
      </c>
      <c r="AZ58" s="10"/>
    </row>
    <row r="59" spans="2:52" x14ac:dyDescent="0.45">
      <c r="B59" s="17"/>
      <c r="C59" s="18"/>
      <c r="D59" s="19" t="s">
        <v>72</v>
      </c>
      <c r="L59" s="17"/>
      <c r="M59" s="18"/>
      <c r="N59" s="19" t="s">
        <v>72</v>
      </c>
      <c r="V59" s="17"/>
      <c r="W59" s="18"/>
      <c r="X59" s="19" t="s">
        <v>72</v>
      </c>
      <c r="AF59" s="17"/>
      <c r="AG59" s="18"/>
      <c r="AH59" s="19" t="s">
        <v>72</v>
      </c>
      <c r="AP59" s="17"/>
      <c r="AQ59" s="18"/>
      <c r="AR59" s="19" t="s">
        <v>72</v>
      </c>
    </row>
    <row r="60" spans="2:52" x14ac:dyDescent="0.45">
      <c r="B60" s="12" t="s">
        <v>38</v>
      </c>
      <c r="C60" s="9" t="s">
        <v>39</v>
      </c>
      <c r="D60" s="13">
        <f t="shared" ref="D60:D75" si="0">D26*$P$7</f>
        <v>6327837120.9375</v>
      </c>
      <c r="L60" s="12" t="s">
        <v>38</v>
      </c>
      <c r="M60" s="9" t="s">
        <v>39</v>
      </c>
      <c r="N60" s="13">
        <f t="shared" ref="N60:N75" si="1">N26*$P$6</f>
        <v>2995422710.873291</v>
      </c>
      <c r="V60" s="12" t="s">
        <v>38</v>
      </c>
      <c r="W60" s="9" t="s">
        <v>39</v>
      </c>
      <c r="X60" s="13">
        <f t="shared" ref="X60:X75" si="2">X26*$P$4</f>
        <v>63458865118.79631</v>
      </c>
      <c r="AF60" s="12" t="s">
        <v>38</v>
      </c>
      <c r="AG60" s="9" t="s">
        <v>39</v>
      </c>
      <c r="AH60" s="13">
        <f t="shared" ref="AH60:AH75" si="3">AH26*$P$5</f>
        <v>20486937721.965107</v>
      </c>
      <c r="AP60" s="12" t="s">
        <v>38</v>
      </c>
      <c r="AQ60" s="70" t="s">
        <v>39</v>
      </c>
      <c r="AR60" s="13">
        <f t="shared" ref="AR60:AR75" si="4">D60+N60+X60+AH60</f>
        <v>93269062672.572205</v>
      </c>
    </row>
    <row r="61" spans="2:52" x14ac:dyDescent="0.45">
      <c r="B61" s="12" t="s">
        <v>38</v>
      </c>
      <c r="C61" s="9" t="s">
        <v>40</v>
      </c>
      <c r="D61" s="13">
        <f t="shared" si="0"/>
        <v>10045733.90625</v>
      </c>
      <c r="L61" s="12" t="s">
        <v>38</v>
      </c>
      <c r="M61" s="9" t="s">
        <v>40</v>
      </c>
      <c r="N61" s="13">
        <f t="shared" si="1"/>
        <v>4789152.5416259766</v>
      </c>
      <c r="V61" s="12" t="s">
        <v>38</v>
      </c>
      <c r="W61" s="9" t="s">
        <v>40</v>
      </c>
      <c r="X61" s="13">
        <f t="shared" si="2"/>
        <v>395451644.33053118</v>
      </c>
      <c r="AF61" s="12" t="s">
        <v>38</v>
      </c>
      <c r="AG61" s="9" t="s">
        <v>40</v>
      </c>
      <c r="AH61" s="13">
        <f t="shared" si="3"/>
        <v>3731752.3924406245</v>
      </c>
      <c r="AP61" s="12" t="s">
        <v>38</v>
      </c>
      <c r="AQ61" s="70" t="s">
        <v>40</v>
      </c>
      <c r="AR61" s="13">
        <f t="shared" si="4"/>
        <v>414018283.17084777</v>
      </c>
    </row>
    <row r="62" spans="2:52" x14ac:dyDescent="0.45">
      <c r="B62" s="12" t="s">
        <v>38</v>
      </c>
      <c r="C62" s="9" t="s">
        <v>41</v>
      </c>
      <c r="D62" s="13">
        <f t="shared" si="0"/>
        <v>933758.4375</v>
      </c>
      <c r="L62" s="12" t="s">
        <v>38</v>
      </c>
      <c r="M62" s="9" t="s">
        <v>41</v>
      </c>
      <c r="N62" s="13">
        <f t="shared" si="1"/>
        <v>461833.57397460938</v>
      </c>
      <c r="V62" s="12" t="s">
        <v>38</v>
      </c>
      <c r="W62" s="9" t="s">
        <v>41</v>
      </c>
      <c r="X62" s="13">
        <f t="shared" si="2"/>
        <v>153279089.73191717</v>
      </c>
      <c r="AF62" s="12" t="s">
        <v>38</v>
      </c>
      <c r="AG62" s="9" t="s">
        <v>41</v>
      </c>
      <c r="AH62" s="13">
        <f t="shared" si="3"/>
        <v>38012293.058118746</v>
      </c>
      <c r="AP62" s="12" t="s">
        <v>38</v>
      </c>
      <c r="AQ62" s="70" t="s">
        <v>41</v>
      </c>
      <c r="AR62" s="13">
        <f t="shared" si="4"/>
        <v>192686974.80151051</v>
      </c>
    </row>
    <row r="63" spans="2:52" x14ac:dyDescent="0.45">
      <c r="B63" s="12" t="s">
        <v>38</v>
      </c>
      <c r="C63" s="9" t="s">
        <v>42</v>
      </c>
      <c r="D63" s="13">
        <f t="shared" si="0"/>
        <v>72821052.28125</v>
      </c>
      <c r="L63" s="12" t="s">
        <v>38</v>
      </c>
      <c r="M63" s="9" t="s">
        <v>42</v>
      </c>
      <c r="N63" s="13">
        <f t="shared" si="1"/>
        <v>34623713.457641602</v>
      </c>
      <c r="V63" s="12" t="s">
        <v>38</v>
      </c>
      <c r="W63" s="9" t="s">
        <v>42</v>
      </c>
      <c r="X63" s="13">
        <f t="shared" si="2"/>
        <v>2014160756.0497496</v>
      </c>
      <c r="AF63" s="12" t="s">
        <v>38</v>
      </c>
      <c r="AG63" s="9" t="s">
        <v>42</v>
      </c>
      <c r="AH63" s="13">
        <f t="shared" si="3"/>
        <v>2330822586.7856913</v>
      </c>
      <c r="AP63" s="12" t="s">
        <v>38</v>
      </c>
      <c r="AQ63" s="70" t="s">
        <v>42</v>
      </c>
      <c r="AR63" s="13">
        <f t="shared" si="4"/>
        <v>4452428108.5743322</v>
      </c>
    </row>
    <row r="64" spans="2:52" x14ac:dyDescent="0.45">
      <c r="B64" s="12" t="s">
        <v>38</v>
      </c>
      <c r="C64" s="9" t="s">
        <v>43</v>
      </c>
      <c r="D64" s="13">
        <f t="shared" si="0"/>
        <v>1248614417.53125</v>
      </c>
      <c r="L64" s="12" t="s">
        <v>38</v>
      </c>
      <c r="M64" s="9" t="s">
        <v>43</v>
      </c>
      <c r="N64" s="13">
        <f t="shared" si="1"/>
        <v>590657051.77294922</v>
      </c>
      <c r="V64" s="12" t="s">
        <v>38</v>
      </c>
      <c r="W64" s="9" t="s">
        <v>43</v>
      </c>
      <c r="X64" s="13">
        <f t="shared" si="2"/>
        <v>18834244267.19725</v>
      </c>
      <c r="AF64" s="12" t="s">
        <v>38</v>
      </c>
      <c r="AG64" s="9" t="s">
        <v>43</v>
      </c>
      <c r="AH64" s="13">
        <f t="shared" si="3"/>
        <v>6803553058.8922958</v>
      </c>
      <c r="AP64" s="12" t="s">
        <v>38</v>
      </c>
      <c r="AQ64" s="70" t="s">
        <v>43</v>
      </c>
      <c r="AR64" s="13">
        <f t="shared" si="4"/>
        <v>27477068795.393745</v>
      </c>
    </row>
    <row r="65" spans="2:44" x14ac:dyDescent="0.45">
      <c r="B65" s="12" t="s">
        <v>38</v>
      </c>
      <c r="C65" s="9" t="s">
        <v>44</v>
      </c>
      <c r="D65" s="13">
        <f t="shared" si="0"/>
        <v>24235392858.46875</v>
      </c>
      <c r="L65" s="12" t="s">
        <v>38</v>
      </c>
      <c r="M65" s="9" t="s">
        <v>44</v>
      </c>
      <c r="N65" s="13">
        <f t="shared" si="1"/>
        <v>11465116666.571777</v>
      </c>
      <c r="V65" s="12" t="s">
        <v>38</v>
      </c>
      <c r="W65" s="9" t="s">
        <v>44</v>
      </c>
      <c r="X65" s="13">
        <f t="shared" si="2"/>
        <v>6182785887.261095</v>
      </c>
      <c r="AF65" s="12" t="s">
        <v>38</v>
      </c>
      <c r="AG65" s="9" t="s">
        <v>44</v>
      </c>
      <c r="AH65" s="13">
        <f t="shared" si="3"/>
        <v>1854109516870.2908</v>
      </c>
      <c r="AP65" s="12" t="s">
        <v>38</v>
      </c>
      <c r="AQ65" s="70" t="s">
        <v>44</v>
      </c>
      <c r="AR65" s="13">
        <f t="shared" si="4"/>
        <v>1895992812282.5923</v>
      </c>
    </row>
    <row r="66" spans="2:44" x14ac:dyDescent="0.45">
      <c r="B66" s="12" t="s">
        <v>45</v>
      </c>
      <c r="C66" s="9" t="s">
        <v>46</v>
      </c>
      <c r="D66" s="13">
        <f t="shared" si="0"/>
        <v>1919157.1875</v>
      </c>
      <c r="L66" s="12" t="s">
        <v>45</v>
      </c>
      <c r="M66" s="9" t="s">
        <v>46</v>
      </c>
      <c r="N66" s="13">
        <f t="shared" si="1"/>
        <v>927588.45190429688</v>
      </c>
      <c r="V66" s="12" t="s">
        <v>45</v>
      </c>
      <c r="W66" s="9" t="s">
        <v>46</v>
      </c>
      <c r="X66" s="13">
        <f t="shared" si="2"/>
        <v>206528477.81527498</v>
      </c>
      <c r="AF66" s="12" t="s">
        <v>45</v>
      </c>
      <c r="AG66" s="9" t="s">
        <v>46</v>
      </c>
      <c r="AH66" s="13">
        <f t="shared" si="3"/>
        <v>0</v>
      </c>
      <c r="AP66" s="12" t="s">
        <v>45</v>
      </c>
      <c r="AQ66" s="70" t="s">
        <v>46</v>
      </c>
      <c r="AR66" s="13">
        <f t="shared" si="4"/>
        <v>209375223.45467928</v>
      </c>
    </row>
    <row r="67" spans="2:44" x14ac:dyDescent="0.45">
      <c r="B67" s="12" t="s">
        <v>45</v>
      </c>
      <c r="C67" s="9" t="s">
        <v>47</v>
      </c>
      <c r="D67" s="13">
        <f t="shared" si="0"/>
        <v>1289822.625</v>
      </c>
      <c r="L67" s="12" t="s">
        <v>45</v>
      </c>
      <c r="M67" s="9" t="s">
        <v>47</v>
      </c>
      <c r="N67" s="13">
        <f t="shared" si="1"/>
        <v>650616.35009765625</v>
      </c>
      <c r="V67" s="12" t="s">
        <v>45</v>
      </c>
      <c r="W67" s="9" t="s">
        <v>47</v>
      </c>
      <c r="X67" s="13">
        <f t="shared" si="2"/>
        <v>85821309.235199988</v>
      </c>
      <c r="AF67" s="12" t="s">
        <v>45</v>
      </c>
      <c r="AG67" s="9" t="s">
        <v>47</v>
      </c>
      <c r="AH67" s="13">
        <f t="shared" si="3"/>
        <v>0</v>
      </c>
      <c r="AP67" s="12" t="s">
        <v>45</v>
      </c>
      <c r="AQ67" s="70" t="s">
        <v>47</v>
      </c>
      <c r="AR67" s="13">
        <f t="shared" si="4"/>
        <v>87761748.210297644</v>
      </c>
    </row>
    <row r="68" spans="2:44" x14ac:dyDescent="0.45">
      <c r="B68" s="12" t="s">
        <v>45</v>
      </c>
      <c r="C68" s="9" t="s">
        <v>48</v>
      </c>
      <c r="D68" s="13">
        <f t="shared" si="0"/>
        <v>10967703706.96875</v>
      </c>
      <c r="L68" s="12" t="s">
        <v>45</v>
      </c>
      <c r="M68" s="9" t="s">
        <v>48</v>
      </c>
      <c r="N68" s="13">
        <f t="shared" si="1"/>
        <v>5184978045.8719482</v>
      </c>
      <c r="V68" s="12" t="s">
        <v>45</v>
      </c>
      <c r="W68" s="9" t="s">
        <v>48</v>
      </c>
      <c r="X68" s="13">
        <f t="shared" si="2"/>
        <v>794442086530.52698</v>
      </c>
      <c r="AF68" s="12" t="s">
        <v>45</v>
      </c>
      <c r="AG68" s="9" t="s">
        <v>48</v>
      </c>
      <c r="AH68" s="13">
        <f t="shared" si="3"/>
        <v>10034093998.040321</v>
      </c>
      <c r="AP68" s="12" t="s">
        <v>45</v>
      </c>
      <c r="AQ68" s="70" t="s">
        <v>48</v>
      </c>
      <c r="AR68" s="13">
        <f t="shared" si="4"/>
        <v>820628862281.40796</v>
      </c>
    </row>
    <row r="69" spans="2:44" x14ac:dyDescent="0.45">
      <c r="B69" s="12" t="s">
        <v>49</v>
      </c>
      <c r="C69" s="9" t="s">
        <v>50</v>
      </c>
      <c r="D69" s="13">
        <f t="shared" si="0"/>
        <v>1665289347.75</v>
      </c>
      <c r="L69" s="12" t="s">
        <v>49</v>
      </c>
      <c r="M69" s="9" t="s">
        <v>50</v>
      </c>
      <c r="N69" s="13">
        <f t="shared" si="1"/>
        <v>787129905.08496094</v>
      </c>
      <c r="V69" s="12" t="s">
        <v>49</v>
      </c>
      <c r="W69" s="9" t="s">
        <v>50</v>
      </c>
      <c r="X69" s="13">
        <f t="shared" si="2"/>
        <v>13906272228.539675</v>
      </c>
      <c r="AF69" s="12" t="s">
        <v>49</v>
      </c>
      <c r="AG69" s="9" t="s">
        <v>50</v>
      </c>
      <c r="AH69" s="13">
        <f t="shared" si="3"/>
        <v>4249755854.2654519</v>
      </c>
      <c r="AP69" s="12" t="s">
        <v>49</v>
      </c>
      <c r="AQ69" s="70" t="s">
        <v>50</v>
      </c>
      <c r="AR69" s="13">
        <f t="shared" si="4"/>
        <v>20608447335.640087</v>
      </c>
    </row>
    <row r="70" spans="2:44" x14ac:dyDescent="0.45">
      <c r="B70" s="12" t="s">
        <v>49</v>
      </c>
      <c r="C70" s="9" t="s">
        <v>51</v>
      </c>
      <c r="D70" s="13">
        <f t="shared" si="0"/>
        <v>16647559625.8125</v>
      </c>
      <c r="L70" s="12" t="s">
        <v>49</v>
      </c>
      <c r="M70" s="9" t="s">
        <v>51</v>
      </c>
      <c r="N70" s="13">
        <f t="shared" si="1"/>
        <v>7868733957.876709</v>
      </c>
      <c r="V70" s="12" t="s">
        <v>49</v>
      </c>
      <c r="W70" s="9" t="s">
        <v>51</v>
      </c>
      <c r="X70" s="13">
        <f t="shared" si="2"/>
        <v>137430815083.08415</v>
      </c>
      <c r="AF70" s="12" t="s">
        <v>49</v>
      </c>
      <c r="AG70" s="9" t="s">
        <v>51</v>
      </c>
      <c r="AH70" s="13">
        <f t="shared" si="3"/>
        <v>6172817164.4863329</v>
      </c>
      <c r="AP70" s="12" t="s">
        <v>49</v>
      </c>
      <c r="AQ70" s="70" t="s">
        <v>51</v>
      </c>
      <c r="AR70" s="13">
        <f t="shared" si="4"/>
        <v>168119925831.2597</v>
      </c>
    </row>
    <row r="71" spans="2:44" x14ac:dyDescent="0.45">
      <c r="B71" s="12" t="s">
        <v>49</v>
      </c>
      <c r="C71" s="9" t="s">
        <v>52</v>
      </c>
      <c r="D71" s="13">
        <f t="shared" si="0"/>
        <v>51620939425.125</v>
      </c>
      <c r="L71" s="12" t="s">
        <v>49</v>
      </c>
      <c r="M71" s="9" t="s">
        <v>52</v>
      </c>
      <c r="N71" s="13">
        <f t="shared" si="1"/>
        <v>24399366545.462036</v>
      </c>
      <c r="V71" s="12" t="s">
        <v>49</v>
      </c>
      <c r="W71" s="9" t="s">
        <v>52</v>
      </c>
      <c r="X71" s="13">
        <f t="shared" si="2"/>
        <v>414308414465.20294</v>
      </c>
      <c r="AF71" s="12" t="s">
        <v>49</v>
      </c>
      <c r="AG71" s="9" t="s">
        <v>52</v>
      </c>
      <c r="AH71" s="13">
        <f t="shared" si="3"/>
        <v>13975380252.041216</v>
      </c>
      <c r="AP71" s="12" t="s">
        <v>49</v>
      </c>
      <c r="AQ71" s="70" t="s">
        <v>52</v>
      </c>
      <c r="AR71" s="13">
        <f t="shared" si="4"/>
        <v>504304100687.83118</v>
      </c>
    </row>
    <row r="72" spans="2:44" x14ac:dyDescent="0.45">
      <c r="B72" s="12" t="s">
        <v>49</v>
      </c>
      <c r="C72" s="9" t="s">
        <v>53</v>
      </c>
      <c r="D72" s="13">
        <f t="shared" si="0"/>
        <v>86467555.125</v>
      </c>
      <c r="L72" s="12" t="s">
        <v>49</v>
      </c>
      <c r="M72" s="9" t="s">
        <v>53</v>
      </c>
      <c r="N72" s="13">
        <f t="shared" si="1"/>
        <v>41012838.039550781</v>
      </c>
      <c r="V72" s="12" t="s">
        <v>49</v>
      </c>
      <c r="W72" s="9" t="s">
        <v>53</v>
      </c>
      <c r="X72" s="13">
        <f t="shared" si="2"/>
        <v>3323344295.0140119</v>
      </c>
      <c r="AF72" s="12" t="s">
        <v>49</v>
      </c>
      <c r="AG72" s="9" t="s">
        <v>53</v>
      </c>
      <c r="AH72" s="13">
        <f t="shared" si="3"/>
        <v>741688858.31571555</v>
      </c>
      <c r="AP72" s="12" t="s">
        <v>49</v>
      </c>
      <c r="AQ72" s="70" t="s">
        <v>74</v>
      </c>
      <c r="AR72" s="13">
        <f t="shared" si="4"/>
        <v>4192513546.494278</v>
      </c>
    </row>
    <row r="73" spans="2:44" x14ac:dyDescent="0.45">
      <c r="B73" s="12" t="s">
        <v>54</v>
      </c>
      <c r="C73" s="9" t="s">
        <v>55</v>
      </c>
      <c r="D73" s="13">
        <f t="shared" si="0"/>
        <v>356676421.5</v>
      </c>
      <c r="L73" s="12" t="s">
        <v>54</v>
      </c>
      <c r="M73" s="9" t="s">
        <v>55</v>
      </c>
      <c r="N73" s="13">
        <f t="shared" si="1"/>
        <v>168626313.47460938</v>
      </c>
      <c r="V73" s="12" t="s">
        <v>54</v>
      </c>
      <c r="W73" s="9" t="s">
        <v>55</v>
      </c>
      <c r="X73" s="13">
        <f t="shared" si="2"/>
        <v>4097852277.4063869</v>
      </c>
      <c r="AF73" s="12" t="s">
        <v>54</v>
      </c>
      <c r="AG73" s="9" t="s">
        <v>55</v>
      </c>
      <c r="AH73" s="13">
        <f t="shared" si="3"/>
        <v>224571.84119999997</v>
      </c>
      <c r="AP73" s="12" t="s">
        <v>54</v>
      </c>
      <c r="AQ73" s="70" t="s">
        <v>55</v>
      </c>
      <c r="AR73" s="13">
        <f t="shared" si="4"/>
        <v>4623379584.2221966</v>
      </c>
    </row>
    <row r="74" spans="2:44" x14ac:dyDescent="0.45">
      <c r="B74" s="12" t="s">
        <v>54</v>
      </c>
      <c r="C74" s="9" t="s">
        <v>56</v>
      </c>
      <c r="D74" s="13">
        <f t="shared" si="0"/>
        <v>356675828.90625</v>
      </c>
      <c r="L74" s="12" t="s">
        <v>54</v>
      </c>
      <c r="M74" s="9" t="s">
        <v>56</v>
      </c>
      <c r="N74" s="13">
        <f t="shared" si="1"/>
        <v>168626033.38146973</v>
      </c>
      <c r="V74" s="12" t="s">
        <v>54</v>
      </c>
      <c r="W74" s="9" t="s">
        <v>56</v>
      </c>
      <c r="X74" s="13">
        <f t="shared" si="2"/>
        <v>4098352517.5816774</v>
      </c>
      <c r="AF74" s="12" t="s">
        <v>54</v>
      </c>
      <c r="AG74" s="9" t="s">
        <v>56</v>
      </c>
      <c r="AH74" s="13">
        <f t="shared" si="3"/>
        <v>224571.84119999997</v>
      </c>
      <c r="AP74" s="12" t="s">
        <v>54</v>
      </c>
      <c r="AQ74" s="70" t="s">
        <v>56</v>
      </c>
      <c r="AR74" s="13">
        <f t="shared" si="4"/>
        <v>4623878951.710597</v>
      </c>
    </row>
    <row r="75" spans="2:44" ht="17.5" thickBot="1" x14ac:dyDescent="0.5">
      <c r="B75" s="14" t="s">
        <v>54</v>
      </c>
      <c r="C75" s="15" t="s">
        <v>57</v>
      </c>
      <c r="D75" s="16">
        <f t="shared" si="0"/>
        <v>1279123852.78125</v>
      </c>
      <c r="L75" s="14" t="s">
        <v>54</v>
      </c>
      <c r="M75" s="15" t="s">
        <v>57</v>
      </c>
      <c r="N75" s="16">
        <f t="shared" si="1"/>
        <v>609784412.2130127</v>
      </c>
      <c r="V75" s="14" t="s">
        <v>54</v>
      </c>
      <c r="W75" s="15" t="s">
        <v>57</v>
      </c>
      <c r="X75" s="16">
        <f t="shared" si="2"/>
        <v>176432520292.08957</v>
      </c>
      <c r="AF75" s="14" t="s">
        <v>54</v>
      </c>
      <c r="AG75" s="15" t="s">
        <v>57</v>
      </c>
      <c r="AH75" s="16">
        <f t="shared" si="3"/>
        <v>105634196966.28461</v>
      </c>
      <c r="AP75" s="14" t="s">
        <v>54</v>
      </c>
      <c r="AQ75" s="71" t="s">
        <v>57</v>
      </c>
      <c r="AR75" s="16">
        <f t="shared" si="4"/>
        <v>283955625523.36841</v>
      </c>
    </row>
    <row r="79" spans="2:44" x14ac:dyDescent="0.45">
      <c r="C79" s="9"/>
      <c r="D79" s="9"/>
      <c r="L79" s="9"/>
      <c r="M79" s="9"/>
      <c r="N79" s="9"/>
      <c r="V79" s="9"/>
      <c r="W79" s="9"/>
      <c r="X79" s="9"/>
      <c r="AF79" s="9"/>
      <c r="AG79" s="9"/>
      <c r="AH79" s="9"/>
      <c r="AP79" s="9"/>
      <c r="AQ79" s="9"/>
      <c r="AR79" s="9"/>
    </row>
    <row r="80" spans="2:44" x14ac:dyDescent="0.45">
      <c r="C80" s="9"/>
      <c r="D80" s="9"/>
      <c r="L80" s="9"/>
      <c r="M80" s="9"/>
      <c r="N80" s="9"/>
      <c r="V80" s="9"/>
      <c r="W80" s="9"/>
      <c r="X80" s="9"/>
      <c r="AF80" s="9"/>
      <c r="AG80" s="9"/>
      <c r="AH80" s="9"/>
      <c r="AP80" s="9"/>
      <c r="AQ80" s="9"/>
      <c r="AR80" s="9"/>
    </row>
    <row r="85" spans="2:44" x14ac:dyDescent="0.45">
      <c r="C85" s="9"/>
      <c r="D85" s="9"/>
      <c r="L85" s="9"/>
      <c r="M85" s="9"/>
      <c r="N85" s="9"/>
      <c r="V85" s="9"/>
      <c r="W85" s="9"/>
      <c r="X85" s="9"/>
      <c r="AF85" s="9"/>
      <c r="AG85" s="9"/>
      <c r="AH85" s="9"/>
      <c r="AP85" s="9"/>
      <c r="AQ85" s="9"/>
      <c r="AR85" s="9"/>
    </row>
    <row r="92" spans="2:44" ht="17.5" thickBot="1" x14ac:dyDescent="0.5">
      <c r="B92" s="10" t="s">
        <v>120</v>
      </c>
      <c r="L92" s="10" t="s">
        <v>125</v>
      </c>
      <c r="V92" s="10"/>
      <c r="AF92" s="10"/>
      <c r="AP92" s="10"/>
    </row>
    <row r="93" spans="2:44" x14ac:dyDescent="0.45">
      <c r="B93" s="25"/>
      <c r="C93" s="11"/>
      <c r="D93" s="19" t="s">
        <v>76</v>
      </c>
      <c r="E93" s="9"/>
      <c r="F93" s="9"/>
      <c r="G93" s="9"/>
      <c r="H93" s="9"/>
      <c r="I93" s="9"/>
      <c r="J93" s="9"/>
      <c r="K93" s="9"/>
      <c r="L93" s="17"/>
      <c r="M93" s="18"/>
      <c r="N93" s="19" t="s">
        <v>76</v>
      </c>
    </row>
    <row r="94" spans="2:44" x14ac:dyDescent="0.45">
      <c r="B94" s="65" t="s">
        <v>38</v>
      </c>
      <c r="C94" s="66" t="s">
        <v>39</v>
      </c>
      <c r="D94" s="13">
        <v>92838737315.696182</v>
      </c>
      <c r="E94" s="9"/>
      <c r="F94" s="9"/>
      <c r="G94" s="9"/>
      <c r="H94" s="9"/>
      <c r="I94" s="9"/>
      <c r="J94" s="9"/>
      <c r="K94" s="9"/>
      <c r="L94" s="65" t="s">
        <v>38</v>
      </c>
      <c r="M94" s="66" t="s">
        <v>39</v>
      </c>
      <c r="N94" s="13">
        <v>1.0366749714387022</v>
      </c>
    </row>
    <row r="95" spans="2:44" x14ac:dyDescent="0.45">
      <c r="B95" s="65" t="s">
        <v>38</v>
      </c>
      <c r="C95" s="66" t="s">
        <v>40</v>
      </c>
      <c r="D95" s="13">
        <v>412983957.27123696</v>
      </c>
      <c r="E95" s="9"/>
      <c r="F95" s="9"/>
      <c r="G95" s="9"/>
      <c r="H95" s="9"/>
      <c r="I95" s="9"/>
      <c r="J95" s="9"/>
      <c r="K95" s="9"/>
      <c r="L95" s="65" t="s">
        <v>38</v>
      </c>
      <c r="M95" s="66" t="s">
        <v>40</v>
      </c>
      <c r="N95" s="13">
        <v>1.0422557991222665</v>
      </c>
    </row>
    <row r="96" spans="2:44" x14ac:dyDescent="0.45">
      <c r="B96" s="65" t="s">
        <v>38</v>
      </c>
      <c r="C96" s="66" t="s">
        <v>41</v>
      </c>
      <c r="D96" s="13">
        <v>192714559.29235068</v>
      </c>
      <c r="E96" s="9"/>
      <c r="F96" s="9"/>
      <c r="G96" s="9"/>
      <c r="H96" s="9"/>
      <c r="I96" s="9"/>
      <c r="L96" s="65" t="s">
        <v>38</v>
      </c>
      <c r="M96" s="66" t="s">
        <v>41</v>
      </c>
      <c r="N96" s="13">
        <v>1.0471510232877179</v>
      </c>
    </row>
    <row r="97" spans="2:14" x14ac:dyDescent="0.45">
      <c r="B97" s="65" t="s">
        <v>38</v>
      </c>
      <c r="C97" s="66" t="s">
        <v>42</v>
      </c>
      <c r="D97" s="13">
        <v>4418592025.581542</v>
      </c>
      <c r="E97" s="9"/>
      <c r="F97" s="9"/>
      <c r="G97" s="9"/>
      <c r="H97" s="9"/>
      <c r="I97" s="9"/>
      <c r="L97" s="65" t="s">
        <v>38</v>
      </c>
      <c r="M97" s="66" t="s">
        <v>42</v>
      </c>
      <c r="N97" s="13">
        <v>1.0374863554671645</v>
      </c>
    </row>
    <row r="98" spans="2:14" x14ac:dyDescent="0.45">
      <c r="B98" s="65" t="s">
        <v>38</v>
      </c>
      <c r="C98" s="66" t="s">
        <v>43</v>
      </c>
      <c r="D98" s="13">
        <v>26960299778.80167</v>
      </c>
      <c r="E98" s="9"/>
      <c r="F98" s="9"/>
      <c r="G98" s="9"/>
      <c r="H98" s="9"/>
      <c r="I98" s="9"/>
      <c r="L98" s="65" t="s">
        <v>38</v>
      </c>
      <c r="M98" s="66" t="s">
        <v>43</v>
      </c>
      <c r="N98" s="13">
        <v>0.98982031885812138</v>
      </c>
    </row>
    <row r="99" spans="2:14" x14ac:dyDescent="0.45">
      <c r="B99" s="65" t="s">
        <v>38</v>
      </c>
      <c r="C99" s="66" t="s">
        <v>44</v>
      </c>
      <c r="D99" s="13">
        <v>1895875332371.1853</v>
      </c>
      <c r="E99" s="9"/>
      <c r="F99" s="9"/>
      <c r="G99" s="9"/>
      <c r="H99" s="9"/>
      <c r="I99" s="9"/>
      <c r="L99" s="65" t="s">
        <v>38</v>
      </c>
      <c r="M99" s="66" t="s">
        <v>44</v>
      </c>
      <c r="N99" s="13">
        <v>1.045290844421231</v>
      </c>
    </row>
    <row r="100" spans="2:14" x14ac:dyDescent="0.45">
      <c r="B100" s="65"/>
      <c r="C100" s="66"/>
      <c r="D100" s="13" t="s">
        <v>122</v>
      </c>
      <c r="E100" s="9"/>
      <c r="F100" s="9"/>
      <c r="G100" s="9"/>
      <c r="H100" s="9"/>
      <c r="I100" s="9"/>
      <c r="L100" s="65"/>
      <c r="M100" s="66"/>
      <c r="N100" s="13"/>
    </row>
    <row r="101" spans="2:14" x14ac:dyDescent="0.45">
      <c r="B101" s="65" t="s">
        <v>45</v>
      </c>
      <c r="C101" s="66" t="s">
        <v>46</v>
      </c>
      <c r="D101" s="13">
        <v>208049498.1919786</v>
      </c>
      <c r="E101" s="9"/>
      <c r="F101" s="9"/>
      <c r="G101" s="9"/>
      <c r="H101" s="9"/>
      <c r="I101" s="9"/>
      <c r="L101" s="65" t="s">
        <v>45</v>
      </c>
      <c r="M101" s="66" t="s">
        <v>46</v>
      </c>
      <c r="N101" s="13">
        <v>1.0389986433349596</v>
      </c>
    </row>
    <row r="102" spans="2:14" x14ac:dyDescent="0.45">
      <c r="B102" s="65" t="s">
        <v>45</v>
      </c>
      <c r="C102" s="66" t="s">
        <v>47</v>
      </c>
      <c r="D102" s="13">
        <v>87794700.515162975</v>
      </c>
      <c r="E102" s="9"/>
      <c r="F102" s="9"/>
      <c r="G102" s="9"/>
      <c r="H102" s="9"/>
      <c r="I102" s="9"/>
      <c r="L102" s="65" t="s">
        <v>45</v>
      </c>
      <c r="M102" s="66" t="s">
        <v>47</v>
      </c>
      <c r="N102" s="13">
        <v>1.0455081629040022</v>
      </c>
    </row>
    <row r="103" spans="2:14" x14ac:dyDescent="0.45">
      <c r="B103" s="65" t="s">
        <v>45</v>
      </c>
      <c r="C103" s="66" t="s">
        <v>48</v>
      </c>
      <c r="D103" s="13">
        <v>817690683665.86194</v>
      </c>
      <c r="E103" s="9"/>
      <c r="F103" s="9"/>
      <c r="G103" s="9"/>
      <c r="H103" s="9"/>
      <c r="I103" s="9"/>
      <c r="L103" s="65" t="s">
        <v>45</v>
      </c>
      <c r="M103" s="66" t="s">
        <v>48</v>
      </c>
      <c r="N103" s="13">
        <v>1.0415631189705432</v>
      </c>
    </row>
    <row r="104" spans="2:14" x14ac:dyDescent="0.45">
      <c r="B104" s="65"/>
      <c r="C104" s="66"/>
      <c r="D104" s="13" t="s">
        <v>122</v>
      </c>
      <c r="E104" s="9"/>
      <c r="F104" s="9"/>
      <c r="G104" s="9"/>
      <c r="H104" s="9"/>
      <c r="I104" s="9"/>
      <c r="L104" s="65"/>
      <c r="M104" s="66"/>
      <c r="N104" s="13"/>
    </row>
    <row r="105" spans="2:14" x14ac:dyDescent="0.45">
      <c r="B105" s="65" t="s">
        <v>49</v>
      </c>
      <c r="C105" s="66" t="s">
        <v>121</v>
      </c>
      <c r="D105" s="13">
        <v>20080488688.030205</v>
      </c>
      <c r="E105" s="9"/>
      <c r="F105" s="9"/>
      <c r="G105" s="9"/>
      <c r="H105" s="9"/>
      <c r="I105" s="9"/>
      <c r="L105" s="65" t="s">
        <v>49</v>
      </c>
      <c r="M105" s="66" t="s">
        <v>121</v>
      </c>
      <c r="N105" s="13">
        <v>1.0119130770666451</v>
      </c>
    </row>
    <row r="106" spans="2:14" x14ac:dyDescent="0.45">
      <c r="B106" s="65" t="s">
        <v>49</v>
      </c>
      <c r="C106" s="66" t="s">
        <v>51</v>
      </c>
      <c r="D106" s="13">
        <v>165827304290.64371</v>
      </c>
      <c r="E106" s="9"/>
      <c r="F106" s="9"/>
      <c r="G106" s="9"/>
      <c r="H106" s="9"/>
      <c r="I106" s="9"/>
      <c r="L106" s="65" t="s">
        <v>49</v>
      </c>
      <c r="M106" s="66" t="s">
        <v>51</v>
      </c>
      <c r="N106" s="13">
        <v>1.0275921719363592</v>
      </c>
    </row>
    <row r="107" spans="2:14" x14ac:dyDescent="0.45">
      <c r="B107" s="65" t="s">
        <v>49</v>
      </c>
      <c r="C107" s="66" t="s">
        <v>52</v>
      </c>
      <c r="D107" s="13">
        <v>500173675763.4588</v>
      </c>
      <c r="E107" s="9"/>
      <c r="F107" s="9"/>
      <c r="G107" s="9"/>
      <c r="H107" s="9"/>
      <c r="I107" s="9"/>
      <c r="L107" s="65" t="s">
        <v>49</v>
      </c>
      <c r="M107" s="66" t="s">
        <v>52</v>
      </c>
      <c r="N107" s="13">
        <v>1.0310323404753827</v>
      </c>
    </row>
    <row r="108" spans="2:14" x14ac:dyDescent="0.45">
      <c r="B108" s="65" t="s">
        <v>49</v>
      </c>
      <c r="C108" s="66" t="s">
        <v>53</v>
      </c>
      <c r="D108" s="13">
        <v>4179017185.0304265</v>
      </c>
      <c r="E108" s="9"/>
      <c r="F108" s="9"/>
      <c r="G108" s="9"/>
      <c r="H108" s="9"/>
      <c r="I108" s="9"/>
      <c r="L108" s="65" t="s">
        <v>49</v>
      </c>
      <c r="M108" s="66" t="s">
        <v>53</v>
      </c>
      <c r="N108" s="13">
        <v>1.0405649005115465</v>
      </c>
    </row>
    <row r="109" spans="2:14" x14ac:dyDescent="0.45">
      <c r="B109" s="65"/>
      <c r="C109" s="66"/>
      <c r="D109" s="13" t="s">
        <v>122</v>
      </c>
      <c r="E109" s="9"/>
      <c r="F109" s="9"/>
      <c r="G109" s="9"/>
      <c r="H109" s="9"/>
      <c r="I109" s="9"/>
      <c r="L109" s="65"/>
      <c r="M109" s="66"/>
      <c r="N109" s="13"/>
    </row>
    <row r="110" spans="2:14" x14ac:dyDescent="0.45">
      <c r="B110" s="65" t="s">
        <v>54</v>
      </c>
      <c r="C110" s="66" t="s">
        <v>55</v>
      </c>
      <c r="D110" s="13">
        <v>4551830187.1508617</v>
      </c>
      <c r="E110" s="9"/>
      <c r="F110" s="9"/>
      <c r="G110" s="9"/>
      <c r="H110" s="9"/>
      <c r="I110" s="9"/>
      <c r="L110" s="65" t="s">
        <v>54</v>
      </c>
      <c r="M110" s="66" t="s">
        <v>55</v>
      </c>
      <c r="N110" s="13">
        <v>1.0244352650759867</v>
      </c>
    </row>
    <row r="111" spans="2:14" x14ac:dyDescent="0.45">
      <c r="B111" s="65" t="s">
        <v>54</v>
      </c>
      <c r="C111" s="66" t="s">
        <v>56</v>
      </c>
      <c r="D111" s="13">
        <v>4495203752.3420067</v>
      </c>
      <c r="E111" s="9"/>
      <c r="F111" s="9"/>
      <c r="G111" s="9"/>
      <c r="H111" s="9"/>
      <c r="I111" s="9"/>
      <c r="L111" s="65" t="s">
        <v>54</v>
      </c>
      <c r="M111" s="66" t="s">
        <v>56</v>
      </c>
      <c r="N111" s="13">
        <v>1.0117009971228796</v>
      </c>
    </row>
    <row r="112" spans="2:14" x14ac:dyDescent="0.45">
      <c r="B112" s="65" t="s">
        <v>54</v>
      </c>
      <c r="C112" s="66" t="s">
        <v>57</v>
      </c>
      <c r="D112" s="13">
        <v>283335020315.77124</v>
      </c>
      <c r="E112" s="9"/>
      <c r="F112" s="9"/>
      <c r="G112" s="9"/>
      <c r="H112" s="9"/>
      <c r="I112" s="9"/>
      <c r="L112" s="65" t="s">
        <v>54</v>
      </c>
      <c r="M112" s="66" t="s">
        <v>57</v>
      </c>
      <c r="N112" s="13">
        <v>1.0436582431123302</v>
      </c>
    </row>
    <row r="113" spans="2:14" x14ac:dyDescent="0.45">
      <c r="B113" s="12"/>
      <c r="C113" s="9"/>
      <c r="D113" s="13"/>
      <c r="E113" s="9"/>
      <c r="F113" s="9"/>
      <c r="G113" s="9"/>
      <c r="H113" s="9"/>
      <c r="I113" s="9"/>
      <c r="L113" s="65"/>
      <c r="M113" s="66"/>
      <c r="N113" s="13"/>
    </row>
    <row r="114" spans="2:14" ht="17.5" thickBot="1" x14ac:dyDescent="0.5">
      <c r="B114" s="67" t="s">
        <v>123</v>
      </c>
      <c r="C114" s="15"/>
      <c r="D114" s="68">
        <v>13339975191.543182</v>
      </c>
      <c r="E114" s="9"/>
      <c r="F114" s="9"/>
      <c r="G114" s="9"/>
      <c r="H114" s="9"/>
      <c r="I114" s="9"/>
      <c r="L114" s="67"/>
      <c r="M114" s="69" t="s">
        <v>123</v>
      </c>
      <c r="N114" s="16">
        <v>1.0321122056402858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DF689-BDFE-4EB3-B27A-370C449B7C8E}">
  <dimension ref="A1:BA330"/>
  <sheetViews>
    <sheetView topLeftCell="U46" zoomScale="55" zoomScaleNormal="55" workbookViewId="0">
      <selection activeCell="D94" sqref="D94"/>
    </sheetView>
  </sheetViews>
  <sheetFormatPr defaultRowHeight="17" x14ac:dyDescent="0.45"/>
  <cols>
    <col min="4" max="4" width="12.5" bestFit="1" customWidth="1"/>
    <col min="14" max="17" width="12.08203125" bestFit="1" customWidth="1"/>
    <col min="18" max="18" width="10.33203125" bestFit="1" customWidth="1"/>
    <col min="19" max="21" width="12.08203125" bestFit="1" customWidth="1"/>
    <col min="24" max="24" width="12.08203125" bestFit="1" customWidth="1"/>
    <col min="25" max="26" width="11.25" bestFit="1" customWidth="1"/>
    <col min="27" max="27" width="12.33203125" bestFit="1" customWidth="1"/>
    <col min="34" max="34" width="12.08203125" bestFit="1" customWidth="1"/>
    <col min="36" max="36" width="9.1640625" bestFit="1" customWidth="1"/>
    <col min="44" max="44" width="12.5" bestFit="1" customWidth="1"/>
  </cols>
  <sheetData>
    <row r="1" spans="2:17" ht="17.5" thickBot="1" x14ac:dyDescent="0.5"/>
    <row r="2" spans="2:17" ht="17.5" thickBot="1" x14ac:dyDescent="0.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spans="2:17" x14ac:dyDescent="0.45">
      <c r="B3" s="4"/>
      <c r="C3" s="1" t="s">
        <v>0</v>
      </c>
      <c r="D3" s="3"/>
      <c r="F3" s="1" t="s">
        <v>1</v>
      </c>
      <c r="G3" s="3"/>
      <c r="I3" s="1" t="s">
        <v>2</v>
      </c>
      <c r="J3" s="3"/>
      <c r="L3" s="1" t="s">
        <v>3</v>
      </c>
      <c r="M3" s="3"/>
      <c r="O3" s="1" t="s">
        <v>4</v>
      </c>
      <c r="P3" s="3"/>
      <c r="Q3" s="5"/>
    </row>
    <row r="4" spans="2:17" ht="17.5" thickBot="1" x14ac:dyDescent="0.5">
      <c r="B4" s="4"/>
      <c r="C4" s="31" t="s">
        <v>5</v>
      </c>
      <c r="D4" s="5">
        <v>0.625</v>
      </c>
      <c r="F4" s="4" t="s">
        <v>6</v>
      </c>
      <c r="G4" s="5">
        <v>47.5625</v>
      </c>
      <c r="H4" s="20"/>
      <c r="I4" s="6" t="s">
        <v>7</v>
      </c>
      <c r="J4" s="7">
        <v>1.05</v>
      </c>
      <c r="L4" s="4" t="s">
        <v>8</v>
      </c>
      <c r="M4" s="5">
        <v>8</v>
      </c>
      <c r="O4" s="4" t="s">
        <v>9</v>
      </c>
      <c r="P4" s="5">
        <f>J4*(G8-G14)*(M4/M5)*D8</f>
        <v>312.92361679687497</v>
      </c>
      <c r="Q4" s="5"/>
    </row>
    <row r="5" spans="2:17" x14ac:dyDescent="0.45">
      <c r="B5" s="4"/>
      <c r="C5" s="31" t="s">
        <v>10</v>
      </c>
      <c r="D5" s="5">
        <v>55</v>
      </c>
      <c r="F5" s="4" t="s">
        <v>11</v>
      </c>
      <c r="G5" s="5"/>
      <c r="H5" s="21"/>
      <c r="L5" s="4" t="s">
        <v>12</v>
      </c>
      <c r="M5" s="5">
        <v>4</v>
      </c>
      <c r="O5" s="4" t="s">
        <v>13</v>
      </c>
      <c r="P5" s="5">
        <f>J4*(G9-G14)*(M4/M5)*D8</f>
        <v>209.58471679687503</v>
      </c>
      <c r="Q5" s="5"/>
    </row>
    <row r="6" spans="2:17" x14ac:dyDescent="0.45">
      <c r="B6" s="4"/>
      <c r="C6" s="31" t="s">
        <v>14</v>
      </c>
      <c r="D6" s="5">
        <v>30</v>
      </c>
      <c r="F6" s="4" t="s">
        <v>15</v>
      </c>
      <c r="G6" s="5">
        <v>44.875</v>
      </c>
      <c r="H6" s="21"/>
      <c r="L6" s="4" t="s">
        <v>16</v>
      </c>
      <c r="M6" s="5">
        <v>0.33</v>
      </c>
      <c r="O6" s="4" t="s">
        <v>17</v>
      </c>
      <c r="P6" s="5">
        <f>J4*(G12-G13)*D5</f>
        <v>40.0133056640625</v>
      </c>
      <c r="Q6" s="5"/>
    </row>
    <row r="7" spans="2:17" ht="17.5" thickBot="1" x14ac:dyDescent="0.5">
      <c r="B7" s="4"/>
      <c r="C7" s="31" t="s">
        <v>18</v>
      </c>
      <c r="D7" s="5">
        <v>90</v>
      </c>
      <c r="F7" s="31" t="s">
        <v>19</v>
      </c>
      <c r="G7" s="5">
        <v>47.84375</v>
      </c>
      <c r="H7" s="21"/>
      <c r="K7" s="22"/>
      <c r="L7" t="s">
        <v>20</v>
      </c>
      <c r="M7" s="22">
        <v>0.65</v>
      </c>
      <c r="O7" s="6" t="s">
        <v>21</v>
      </c>
      <c r="P7" s="7">
        <f>J4*(G11-G6)*D6</f>
        <v>84.65625</v>
      </c>
      <c r="Q7" s="5"/>
    </row>
    <row r="8" spans="2:17" ht="17.5" thickBot="1" x14ac:dyDescent="0.5">
      <c r="B8" s="57"/>
      <c r="C8" s="23" t="s">
        <v>22</v>
      </c>
      <c r="D8" s="7">
        <f>D4/2</f>
        <v>0.3125</v>
      </c>
      <c r="F8" s="31" t="s">
        <v>23</v>
      </c>
      <c r="G8" s="5">
        <v>525.71879999999999</v>
      </c>
      <c r="H8" s="21"/>
      <c r="L8" s="4" t="s">
        <v>24</v>
      </c>
      <c r="M8" s="5">
        <v>1</v>
      </c>
      <c r="Q8" s="5"/>
    </row>
    <row r="9" spans="2:17" ht="17.5" thickBot="1" x14ac:dyDescent="0.5">
      <c r="B9" s="4"/>
      <c r="F9" s="32" t="s">
        <v>25</v>
      </c>
      <c r="G9" s="7">
        <v>368.25</v>
      </c>
      <c r="H9" s="21"/>
      <c r="L9" s="6" t="s">
        <v>26</v>
      </c>
      <c r="M9" s="7">
        <v>16</v>
      </c>
      <c r="O9" s="1" t="s">
        <v>27</v>
      </c>
      <c r="P9" s="3"/>
      <c r="Q9" s="5"/>
    </row>
    <row r="10" spans="2:17" ht="17.5" thickBot="1" x14ac:dyDescent="0.5">
      <c r="B10" s="4"/>
      <c r="F10" s="58"/>
      <c r="O10" s="4" t="s">
        <v>28</v>
      </c>
      <c r="P10" s="5">
        <f>(G4-(G7*D5/D7+G6*(D7-D5)/D7))*J4</f>
        <v>0.91692708333333006</v>
      </c>
      <c r="Q10" s="5"/>
    </row>
    <row r="11" spans="2:17" ht="17.5" thickBot="1" x14ac:dyDescent="0.5">
      <c r="B11" s="4"/>
      <c r="E11" s="22"/>
      <c r="F11" t="s">
        <v>29</v>
      </c>
      <c r="G11" s="3">
        <f>G4</f>
        <v>47.5625</v>
      </c>
      <c r="O11" s="4" t="s">
        <v>30</v>
      </c>
      <c r="P11" s="5">
        <f>(G8-G7)*J4</f>
        <v>501.76880249999999</v>
      </c>
      <c r="Q11" s="5"/>
    </row>
    <row r="12" spans="2:17" x14ac:dyDescent="0.45">
      <c r="B12" s="4"/>
      <c r="E12" s="22"/>
      <c r="F12" t="s">
        <v>31</v>
      </c>
      <c r="G12" s="5">
        <f>(G4*(D6+D5)-G11*D6)*(1/D5)</f>
        <v>47.5625</v>
      </c>
      <c r="H12" s="57"/>
      <c r="I12" s="11" t="s">
        <v>67</v>
      </c>
      <c r="J12" s="11" t="s">
        <v>68</v>
      </c>
      <c r="K12" s="11" t="s">
        <v>69</v>
      </c>
      <c r="L12" s="26" t="s">
        <v>70</v>
      </c>
      <c r="O12" s="4" t="s">
        <v>32</v>
      </c>
      <c r="P12" s="5">
        <f>(G9-G7)*J4</f>
        <v>336.42656249999999</v>
      </c>
      <c r="Q12" s="5"/>
    </row>
    <row r="13" spans="2:17" ht="17.5" thickBot="1" x14ac:dyDescent="0.5">
      <c r="B13" s="4"/>
      <c r="E13" s="22"/>
      <c r="F13" t="s">
        <v>33</v>
      </c>
      <c r="G13" s="5">
        <f>(1/M9)*(G7+(M9-1)*(M7*(G7-G6)+G6))</f>
        <v>46.86962890625</v>
      </c>
      <c r="H13" s="57"/>
      <c r="I13" s="28">
        <v>1.1000000000000001</v>
      </c>
      <c r="J13" s="23">
        <v>1.1000000000000001</v>
      </c>
      <c r="K13" s="23">
        <v>1.18</v>
      </c>
      <c r="L13" s="24">
        <v>1.22</v>
      </c>
      <c r="N13" s="22"/>
      <c r="O13" t="s">
        <v>34</v>
      </c>
      <c r="P13" s="5">
        <f>J4*G7</f>
        <v>50.235937499999999</v>
      </c>
      <c r="Q13" s="5"/>
    </row>
    <row r="14" spans="2:17" x14ac:dyDescent="0.45">
      <c r="B14" s="4"/>
      <c r="E14" s="22"/>
      <c r="F14" t="s">
        <v>35</v>
      </c>
      <c r="G14" s="5">
        <f>G7+G7-G15</f>
        <v>48.8828125</v>
      </c>
      <c r="O14" s="4" t="s">
        <v>17</v>
      </c>
      <c r="P14" s="5">
        <f>P10*D5</f>
        <v>50.430989583333151</v>
      </c>
      <c r="Q14" s="5"/>
    </row>
    <row r="15" spans="2:17" ht="17.5" thickBot="1" x14ac:dyDescent="0.5">
      <c r="B15" s="4"/>
      <c r="E15" s="22"/>
      <c r="F15" s="28" t="s">
        <v>36</v>
      </c>
      <c r="G15" s="7">
        <f>M7*(G7-G6)+G6</f>
        <v>46.8046875</v>
      </c>
      <c r="O15" s="4" t="s">
        <v>37</v>
      </c>
      <c r="P15" s="5">
        <f>P11*M4/M5*D8</f>
        <v>313.60550156249997</v>
      </c>
      <c r="Q15" s="5"/>
    </row>
    <row r="16" spans="2:17" ht="17.5" thickBot="1" x14ac:dyDescent="0.5">
      <c r="B16" s="4"/>
      <c r="O16" s="6" t="s">
        <v>13</v>
      </c>
      <c r="P16" s="7">
        <f>P12*M4/M5*D8</f>
        <v>210.2666015625</v>
      </c>
      <c r="Q16" s="5"/>
    </row>
    <row r="17" spans="2:34" x14ac:dyDescent="0.45">
      <c r="B17" s="4"/>
      <c r="Q17" s="5"/>
    </row>
    <row r="18" spans="2:34" ht="17.5" thickBot="1" x14ac:dyDescent="0.5">
      <c r="B18" s="6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7"/>
    </row>
    <row r="24" spans="2:34" ht="17.5" thickBot="1" x14ac:dyDescent="0.5">
      <c r="B24" s="10" t="s">
        <v>58</v>
      </c>
      <c r="L24" s="10" t="s">
        <v>59</v>
      </c>
      <c r="V24" s="10" t="s">
        <v>60</v>
      </c>
      <c r="AF24" s="10" t="s">
        <v>61</v>
      </c>
    </row>
    <row r="25" spans="2:34" x14ac:dyDescent="0.45">
      <c r="B25" s="17"/>
      <c r="C25" s="18"/>
      <c r="D25" s="19" t="s">
        <v>75</v>
      </c>
      <c r="L25" s="17"/>
      <c r="M25" s="18"/>
      <c r="N25" s="19" t="s">
        <v>75</v>
      </c>
      <c r="V25" s="17"/>
      <c r="W25" s="18"/>
      <c r="X25" s="19" t="s">
        <v>75</v>
      </c>
      <c r="AF25" s="17"/>
      <c r="AG25" s="18"/>
      <c r="AH25" s="19" t="s">
        <v>75</v>
      </c>
    </row>
    <row r="26" spans="2:34" x14ac:dyDescent="0.45">
      <c r="B26" s="12" t="s">
        <v>38</v>
      </c>
      <c r="C26" s="70" t="s">
        <v>39</v>
      </c>
      <c r="D26" s="13">
        <v>74715050</v>
      </c>
      <c r="L26" s="12" t="s">
        <v>38</v>
      </c>
      <c r="M26" s="9" t="s">
        <v>39</v>
      </c>
      <c r="N26" s="13">
        <v>74828336</v>
      </c>
      <c r="V26" s="12" t="s">
        <v>38</v>
      </c>
      <c r="W26" s="9" t="s">
        <v>39</v>
      </c>
      <c r="X26" s="13">
        <v>193837182</v>
      </c>
      <c r="AF26" s="12" t="s">
        <v>38</v>
      </c>
      <c r="AG26" s="9" t="s">
        <v>39</v>
      </c>
      <c r="AH26" s="13">
        <v>93417487</v>
      </c>
    </row>
    <row r="27" spans="2:34" x14ac:dyDescent="0.45">
      <c r="B27" s="12" t="s">
        <v>38</v>
      </c>
      <c r="C27" s="70" t="s">
        <v>40</v>
      </c>
      <c r="D27" s="13">
        <v>118752</v>
      </c>
      <c r="L27" s="12" t="s">
        <v>38</v>
      </c>
      <c r="M27" s="9" t="s">
        <v>40</v>
      </c>
      <c r="N27" s="13">
        <v>119776</v>
      </c>
      <c r="V27" s="12" t="s">
        <v>38</v>
      </c>
      <c r="W27" s="9" t="s">
        <v>40</v>
      </c>
      <c r="X27" s="13">
        <v>1207334</v>
      </c>
      <c r="AF27" s="12" t="s">
        <v>38</v>
      </c>
      <c r="AG27" s="9" t="s">
        <v>40</v>
      </c>
      <c r="AH27" s="13">
        <v>17136</v>
      </c>
    </row>
    <row r="28" spans="2:34" x14ac:dyDescent="0.45">
      <c r="B28" s="12" t="s">
        <v>38</v>
      </c>
      <c r="C28" s="70" t="s">
        <v>41</v>
      </c>
      <c r="D28" s="13">
        <v>11159</v>
      </c>
      <c r="L28" s="12" t="s">
        <v>38</v>
      </c>
      <c r="M28" s="9" t="s">
        <v>41</v>
      </c>
      <c r="N28" s="13">
        <v>11671</v>
      </c>
      <c r="V28" s="12" t="s">
        <v>38</v>
      </c>
      <c r="W28" s="9" t="s">
        <v>41</v>
      </c>
      <c r="X28" s="13">
        <v>467532</v>
      </c>
      <c r="AF28" s="12" t="s">
        <v>38</v>
      </c>
      <c r="AG28" s="9" t="s">
        <v>41</v>
      </c>
      <c r="AH28" s="13">
        <v>173312</v>
      </c>
    </row>
    <row r="29" spans="2:34" x14ac:dyDescent="0.45">
      <c r="B29" s="12" t="s">
        <v>38</v>
      </c>
      <c r="C29" s="70" t="s">
        <v>42</v>
      </c>
      <c r="D29" s="13">
        <v>860921</v>
      </c>
      <c r="L29" s="12" t="s">
        <v>38</v>
      </c>
      <c r="M29" s="9" t="s">
        <v>42</v>
      </c>
      <c r="N29" s="13">
        <v>866031</v>
      </c>
      <c r="V29" s="12" t="s">
        <v>38</v>
      </c>
      <c r="W29" s="9" t="s">
        <v>42</v>
      </c>
      <c r="X29" s="13">
        <v>6147008</v>
      </c>
      <c r="AF29" s="12" t="s">
        <v>38</v>
      </c>
      <c r="AG29" s="9" t="s">
        <v>42</v>
      </c>
      <c r="AH29" s="13">
        <v>10629882</v>
      </c>
    </row>
    <row r="30" spans="2:34" x14ac:dyDescent="0.45">
      <c r="B30" s="12" t="s">
        <v>38</v>
      </c>
      <c r="C30" s="70" t="s">
        <v>43</v>
      </c>
      <c r="D30" s="13">
        <v>15211090</v>
      </c>
      <c r="L30" s="12" t="s">
        <v>38</v>
      </c>
      <c r="M30" s="9" t="s">
        <v>43</v>
      </c>
      <c r="N30" s="13">
        <v>15223378</v>
      </c>
      <c r="V30" s="12" t="s">
        <v>38</v>
      </c>
      <c r="W30" s="9" t="s">
        <v>43</v>
      </c>
      <c r="X30" s="13">
        <v>59981080</v>
      </c>
      <c r="AF30" s="12" t="s">
        <v>38</v>
      </c>
      <c r="AG30" s="9" t="s">
        <v>43</v>
      </c>
      <c r="AH30" s="13">
        <v>31353534</v>
      </c>
    </row>
    <row r="31" spans="2:34" x14ac:dyDescent="0.45">
      <c r="B31" s="12" t="s">
        <v>38</v>
      </c>
      <c r="C31" s="70" t="s">
        <v>44</v>
      </c>
      <c r="D31" s="13">
        <v>285987217</v>
      </c>
      <c r="L31" s="12" t="s">
        <v>38</v>
      </c>
      <c r="M31" s="9" t="s">
        <v>44</v>
      </c>
      <c r="N31" s="61">
        <v>286239843</v>
      </c>
      <c r="V31" s="12" t="s">
        <v>38</v>
      </c>
      <c r="W31" s="9" t="s">
        <v>44</v>
      </c>
      <c r="X31" s="61">
        <v>18970808</v>
      </c>
      <c r="AF31" s="12" t="s">
        <v>38</v>
      </c>
      <c r="AG31" s="9" t="s">
        <v>44</v>
      </c>
      <c r="AH31" s="13">
        <v>8455433087</v>
      </c>
    </row>
    <row r="32" spans="2:34" x14ac:dyDescent="0.45">
      <c r="B32" s="12" t="s">
        <v>45</v>
      </c>
      <c r="C32" s="70" t="s">
        <v>46</v>
      </c>
      <c r="D32" s="61">
        <v>22561</v>
      </c>
      <c r="L32" s="12" t="s">
        <v>45</v>
      </c>
      <c r="M32" s="9" t="s">
        <v>46</v>
      </c>
      <c r="N32" s="13">
        <v>23073</v>
      </c>
      <c r="V32" s="12" t="s">
        <v>45</v>
      </c>
      <c r="W32" s="9" t="s">
        <v>46</v>
      </c>
      <c r="X32" s="13">
        <v>630848</v>
      </c>
      <c r="AF32" s="12" t="s">
        <v>45</v>
      </c>
      <c r="AG32" s="9" t="s">
        <v>46</v>
      </c>
      <c r="AH32" s="13">
        <v>0</v>
      </c>
    </row>
    <row r="33" spans="2:34" x14ac:dyDescent="0.45">
      <c r="B33" s="12" t="s">
        <v>45</v>
      </c>
      <c r="C33" s="70" t="s">
        <v>47</v>
      </c>
      <c r="D33" s="61">
        <v>15250</v>
      </c>
      <c r="L33" s="12" t="s">
        <v>45</v>
      </c>
      <c r="M33" s="9" t="s">
        <v>47</v>
      </c>
      <c r="N33" s="13">
        <v>16274</v>
      </c>
      <c r="V33" s="12" t="s">
        <v>45</v>
      </c>
      <c r="W33" s="9" t="s">
        <v>47</v>
      </c>
      <c r="X33" s="13">
        <v>262144</v>
      </c>
      <c r="AF33" s="12" t="s">
        <v>45</v>
      </c>
      <c r="AG33" s="9" t="s">
        <v>47</v>
      </c>
      <c r="AH33" s="13">
        <v>0</v>
      </c>
    </row>
    <row r="34" spans="2:34" x14ac:dyDescent="0.45">
      <c r="B34" s="12" t="s">
        <v>45</v>
      </c>
      <c r="C34" s="70" t="s">
        <v>48</v>
      </c>
      <c r="D34" s="61">
        <v>129116824</v>
      </c>
      <c r="L34" s="12" t="s">
        <v>45</v>
      </c>
      <c r="M34" s="9" t="s">
        <v>48</v>
      </c>
      <c r="N34" s="62">
        <v>129142424</v>
      </c>
      <c r="V34" s="12" t="s">
        <v>45</v>
      </c>
      <c r="W34" s="9" t="s">
        <v>48</v>
      </c>
      <c r="X34" s="64">
        <v>2426708256</v>
      </c>
      <c r="AF34" s="12" t="s">
        <v>45</v>
      </c>
      <c r="AG34" s="9" t="s">
        <v>48</v>
      </c>
      <c r="AH34" s="13">
        <v>45751476</v>
      </c>
    </row>
    <row r="35" spans="2:34" x14ac:dyDescent="0.45">
      <c r="B35" s="12" t="s">
        <v>49</v>
      </c>
      <c r="C35" s="70" t="s">
        <v>50</v>
      </c>
      <c r="D35" s="13">
        <v>19669401</v>
      </c>
      <c r="L35" s="12" t="s">
        <v>49</v>
      </c>
      <c r="M35" s="9" t="s">
        <v>50</v>
      </c>
      <c r="N35" s="13">
        <v>19669913</v>
      </c>
      <c r="V35" s="12" t="s">
        <v>49</v>
      </c>
      <c r="W35" s="9" t="s">
        <v>50</v>
      </c>
      <c r="X35" s="13">
        <v>42534506</v>
      </c>
      <c r="AF35" s="12" t="s">
        <v>49</v>
      </c>
      <c r="AG35" s="9" t="s">
        <v>50</v>
      </c>
      <c r="AH35" s="13">
        <v>19475834</v>
      </c>
    </row>
    <row r="36" spans="2:34" x14ac:dyDescent="0.45">
      <c r="B36" s="12" t="s">
        <v>49</v>
      </c>
      <c r="C36" s="70" t="s">
        <v>51</v>
      </c>
      <c r="D36" s="13">
        <v>196141515</v>
      </c>
      <c r="L36" s="12" t="s">
        <v>49</v>
      </c>
      <c r="M36" s="9" t="s">
        <v>51</v>
      </c>
      <c r="N36" s="13">
        <v>196145535</v>
      </c>
      <c r="V36" s="12" t="s">
        <v>49</v>
      </c>
      <c r="W36" s="9" t="s">
        <v>51</v>
      </c>
      <c r="X36" s="13">
        <v>418703336</v>
      </c>
      <c r="AF36" s="12" t="s">
        <v>49</v>
      </c>
      <c r="AG36" s="9" t="s">
        <v>51</v>
      </c>
      <c r="AH36" s="13">
        <v>28148184</v>
      </c>
    </row>
    <row r="37" spans="2:34" x14ac:dyDescent="0.45">
      <c r="B37" s="12" t="s">
        <v>49</v>
      </c>
      <c r="C37" s="70" t="s">
        <v>52</v>
      </c>
      <c r="D37" s="13">
        <v>609333820</v>
      </c>
      <c r="L37" s="12" t="s">
        <v>49</v>
      </c>
      <c r="M37" s="9" t="s">
        <v>52</v>
      </c>
      <c r="N37" s="13">
        <v>609343991</v>
      </c>
      <c r="V37" s="12" t="s">
        <v>49</v>
      </c>
      <c r="W37" s="9" t="s">
        <v>52</v>
      </c>
      <c r="X37" s="13">
        <v>1264839126</v>
      </c>
      <c r="AF37" s="12" t="s">
        <v>49</v>
      </c>
      <c r="AG37" s="9" t="s">
        <v>52</v>
      </c>
      <c r="AH37" s="13">
        <v>63723498</v>
      </c>
    </row>
    <row r="38" spans="2:34" x14ac:dyDescent="0.45">
      <c r="B38" s="12" t="s">
        <v>49</v>
      </c>
      <c r="C38" s="70" t="s">
        <v>74</v>
      </c>
      <c r="D38" s="13">
        <v>1017696</v>
      </c>
      <c r="L38" s="12" t="s">
        <v>49</v>
      </c>
      <c r="M38" s="9" t="s">
        <v>53</v>
      </c>
      <c r="N38" s="13">
        <v>1021280</v>
      </c>
      <c r="V38" s="12" t="s">
        <v>49</v>
      </c>
      <c r="W38" s="9" t="s">
        <v>53</v>
      </c>
      <c r="X38" s="13">
        <v>10160596</v>
      </c>
      <c r="AF38" s="12" t="s">
        <v>49</v>
      </c>
      <c r="AG38" s="9" t="s">
        <v>53</v>
      </c>
      <c r="AH38" s="13">
        <v>3385718</v>
      </c>
    </row>
    <row r="39" spans="2:34" x14ac:dyDescent="0.45">
      <c r="B39" s="12" t="s">
        <v>54</v>
      </c>
      <c r="C39" s="70" t="s">
        <v>55</v>
      </c>
      <c r="D39" s="13">
        <v>4220136</v>
      </c>
      <c r="L39" s="12" t="s">
        <v>54</v>
      </c>
      <c r="M39" s="9" t="s">
        <v>55</v>
      </c>
      <c r="N39" s="61">
        <v>4221160</v>
      </c>
      <c r="V39" s="12" t="s">
        <v>54</v>
      </c>
      <c r="W39" s="9" t="s">
        <v>55</v>
      </c>
      <c r="X39" s="13">
        <v>12517048</v>
      </c>
      <c r="AF39" s="12" t="s">
        <v>54</v>
      </c>
      <c r="AG39" s="9" t="s">
        <v>55</v>
      </c>
      <c r="AH39" s="13">
        <v>1024</v>
      </c>
    </row>
    <row r="40" spans="2:34" x14ac:dyDescent="0.45">
      <c r="B40" s="12" t="s">
        <v>54</v>
      </c>
      <c r="C40" s="70" t="s">
        <v>56</v>
      </c>
      <c r="D40" s="13">
        <v>4216568</v>
      </c>
      <c r="L40" s="12" t="s">
        <v>54</v>
      </c>
      <c r="M40" s="9" t="s">
        <v>56</v>
      </c>
      <c r="N40" s="61">
        <v>4217592</v>
      </c>
      <c r="V40" s="12" t="s">
        <v>54</v>
      </c>
      <c r="W40" s="9" t="s">
        <v>56</v>
      </c>
      <c r="X40" s="13">
        <v>12518328</v>
      </c>
      <c r="AF40" s="12" t="s">
        <v>54</v>
      </c>
      <c r="AG40" s="9" t="s">
        <v>56</v>
      </c>
      <c r="AH40" s="13">
        <v>1024</v>
      </c>
    </row>
    <row r="41" spans="2:34" ht="17.5" thickBot="1" x14ac:dyDescent="0.5">
      <c r="B41" s="14" t="s">
        <v>54</v>
      </c>
      <c r="C41" s="71" t="s">
        <v>57</v>
      </c>
      <c r="D41" s="16">
        <v>15131976</v>
      </c>
      <c r="L41" s="14" t="s">
        <v>54</v>
      </c>
      <c r="M41" s="15" t="s">
        <v>57</v>
      </c>
      <c r="N41" s="63">
        <v>15261896</v>
      </c>
      <c r="V41" s="14" t="s">
        <v>54</v>
      </c>
      <c r="W41" s="15" t="s">
        <v>57</v>
      </c>
      <c r="X41" s="16">
        <v>538918912</v>
      </c>
      <c r="AF41" s="14" t="s">
        <v>54</v>
      </c>
      <c r="AG41" s="15" t="s">
        <v>57</v>
      </c>
      <c r="AH41" s="16">
        <v>481668795</v>
      </c>
    </row>
    <row r="58" spans="2:44" ht="17.5" thickBot="1" x14ac:dyDescent="0.5">
      <c r="B58" s="10" t="s">
        <v>62</v>
      </c>
      <c r="L58" s="10" t="s">
        <v>63</v>
      </c>
      <c r="V58" s="10" t="s">
        <v>64</v>
      </c>
      <c r="AF58" s="10" t="s">
        <v>65</v>
      </c>
      <c r="AP58" s="10" t="s">
        <v>66</v>
      </c>
    </row>
    <row r="59" spans="2:44" x14ac:dyDescent="0.45">
      <c r="B59" s="17"/>
      <c r="C59" s="18"/>
      <c r="D59" s="19" t="s">
        <v>75</v>
      </c>
      <c r="L59" s="17"/>
      <c r="M59" s="18"/>
      <c r="N59" s="19" t="s">
        <v>75</v>
      </c>
      <c r="V59" s="17"/>
      <c r="W59" s="18"/>
      <c r="X59" s="19" t="s">
        <v>75</v>
      </c>
      <c r="AF59" s="17"/>
      <c r="AG59" s="18"/>
      <c r="AH59" s="19" t="s">
        <v>75</v>
      </c>
      <c r="AP59" s="17"/>
      <c r="AQ59" s="72"/>
      <c r="AR59" s="73" t="s">
        <v>75</v>
      </c>
    </row>
    <row r="60" spans="2:44" x14ac:dyDescent="0.45">
      <c r="B60" s="12" t="s">
        <v>38</v>
      </c>
      <c r="C60" s="9" t="s">
        <v>39</v>
      </c>
      <c r="D60" s="13">
        <f t="shared" ref="D60:D75" si="0">D26*$P$7</f>
        <v>6325095951.5625</v>
      </c>
      <c r="L60" s="12" t="s">
        <v>38</v>
      </c>
      <c r="M60" s="9" t="s">
        <v>39</v>
      </c>
      <c r="N60" s="13">
        <f t="shared" ref="N60:N75" si="1">N26*$P$6</f>
        <v>2994129080.7011719</v>
      </c>
      <c r="V60" s="12" t="s">
        <v>38</v>
      </c>
      <c r="W60" s="9" t="s">
        <v>39</v>
      </c>
      <c r="X60" s="13">
        <f t="shared" ref="X60:X75" si="2">X26*$P$4</f>
        <v>60656232061.154114</v>
      </c>
      <c r="AF60" s="12" t="s">
        <v>38</v>
      </c>
      <c r="AG60" s="9" t="s">
        <v>39</v>
      </c>
      <c r="AH60" s="13">
        <f t="shared" ref="AH60:AH75" si="3">AH26*$P$5</f>
        <v>19578877556.770756</v>
      </c>
      <c r="AP60" s="12" t="s">
        <v>38</v>
      </c>
      <c r="AQ60" s="70" t="s">
        <v>39</v>
      </c>
      <c r="AR60" s="13">
        <f t="shared" ref="AR60:AR75" si="4">D60+N60+X60+AH60</f>
        <v>89554334650.188538</v>
      </c>
    </row>
    <row r="61" spans="2:44" x14ac:dyDescent="0.45">
      <c r="B61" s="12" t="s">
        <v>38</v>
      </c>
      <c r="C61" s="9" t="s">
        <v>40</v>
      </c>
      <c r="D61" s="13">
        <f t="shared" si="0"/>
        <v>10053099</v>
      </c>
      <c r="L61" s="12" t="s">
        <v>38</v>
      </c>
      <c r="M61" s="9" t="s">
        <v>40</v>
      </c>
      <c r="N61" s="13">
        <f t="shared" si="1"/>
        <v>4792633.69921875</v>
      </c>
      <c r="V61" s="12" t="s">
        <v>38</v>
      </c>
      <c r="W61" s="9" t="s">
        <v>40</v>
      </c>
      <c r="X61" s="13">
        <f t="shared" si="2"/>
        <v>377803321.96183825</v>
      </c>
      <c r="AF61" s="12" t="s">
        <v>38</v>
      </c>
      <c r="AG61" s="9" t="s">
        <v>40</v>
      </c>
      <c r="AH61" s="13">
        <f t="shared" si="3"/>
        <v>3591443.7070312505</v>
      </c>
      <c r="AP61" s="12" t="s">
        <v>38</v>
      </c>
      <c r="AQ61" s="70" t="s">
        <v>40</v>
      </c>
      <c r="AR61" s="13">
        <f t="shared" si="4"/>
        <v>396240498.36808825</v>
      </c>
    </row>
    <row r="62" spans="2:44" x14ac:dyDescent="0.45">
      <c r="B62" s="12" t="s">
        <v>38</v>
      </c>
      <c r="C62" s="9" t="s">
        <v>41</v>
      </c>
      <c r="D62" s="13">
        <f t="shared" si="0"/>
        <v>944679.09375</v>
      </c>
      <c r="L62" s="12" t="s">
        <v>38</v>
      </c>
      <c r="M62" s="9" t="s">
        <v>41</v>
      </c>
      <c r="N62" s="13">
        <f t="shared" si="1"/>
        <v>466995.29040527344</v>
      </c>
      <c r="V62" s="12" t="s">
        <v>38</v>
      </c>
      <c r="W62" s="9" t="s">
        <v>41</v>
      </c>
      <c r="X62" s="13">
        <f t="shared" si="2"/>
        <v>146301804.40827656</v>
      </c>
      <c r="AF62" s="12" t="s">
        <v>38</v>
      </c>
      <c r="AG62" s="9" t="s">
        <v>41</v>
      </c>
      <c r="AH62" s="13">
        <f t="shared" si="3"/>
        <v>36323546.437500007</v>
      </c>
      <c r="AP62" s="12" t="s">
        <v>38</v>
      </c>
      <c r="AQ62" s="70" t="s">
        <v>41</v>
      </c>
      <c r="AR62" s="13">
        <f t="shared" si="4"/>
        <v>184037025.22993183</v>
      </c>
    </row>
    <row r="63" spans="2:44" x14ac:dyDescent="0.45">
      <c r="B63" s="12" t="s">
        <v>38</v>
      </c>
      <c r="C63" s="9" t="s">
        <v>42</v>
      </c>
      <c r="D63" s="13">
        <f t="shared" si="0"/>
        <v>72882343.40625</v>
      </c>
      <c r="L63" s="12" t="s">
        <v>38</v>
      </c>
      <c r="M63" s="9" t="s">
        <v>42</v>
      </c>
      <c r="N63" s="13">
        <f t="shared" si="1"/>
        <v>34652763.117553711</v>
      </c>
      <c r="V63" s="12" t="s">
        <v>38</v>
      </c>
      <c r="W63" s="9" t="s">
        <v>42</v>
      </c>
      <c r="X63" s="13">
        <f t="shared" si="2"/>
        <v>1923543975.8393247</v>
      </c>
      <c r="AF63" s="12" t="s">
        <v>38</v>
      </c>
      <c r="AG63" s="9" t="s">
        <v>42</v>
      </c>
      <c r="AH63" s="13">
        <f t="shared" si="3"/>
        <v>2227860808.5541997</v>
      </c>
      <c r="AP63" s="12" t="s">
        <v>38</v>
      </c>
      <c r="AQ63" s="70" t="s">
        <v>42</v>
      </c>
      <c r="AR63" s="13">
        <f t="shared" si="4"/>
        <v>4258939890.9173279</v>
      </c>
    </row>
    <row r="64" spans="2:44" x14ac:dyDescent="0.45">
      <c r="B64" s="12" t="s">
        <v>38</v>
      </c>
      <c r="C64" s="9" t="s">
        <v>43</v>
      </c>
      <c r="D64" s="13">
        <f t="shared" si="0"/>
        <v>1287713837.8125</v>
      </c>
      <c r="L64" s="12" t="s">
        <v>38</v>
      </c>
      <c r="M64" s="9" t="s">
        <v>43</v>
      </c>
      <c r="N64" s="13">
        <f t="shared" si="1"/>
        <v>609137677.15356445</v>
      </c>
      <c r="V64" s="12" t="s">
        <v>38</v>
      </c>
      <c r="W64" s="9" t="s">
        <v>43</v>
      </c>
      <c r="X64" s="13">
        <f t="shared" si="2"/>
        <v>18769496492.9827</v>
      </c>
      <c r="AF64" s="12" t="s">
        <v>38</v>
      </c>
      <c r="AG64" s="9" t="s">
        <v>43</v>
      </c>
      <c r="AH64" s="13">
        <f t="shared" si="3"/>
        <v>6571221543.9711924</v>
      </c>
      <c r="AP64" s="12" t="s">
        <v>38</v>
      </c>
      <c r="AQ64" s="70" t="s">
        <v>43</v>
      </c>
      <c r="AR64" s="13">
        <f t="shared" si="4"/>
        <v>27237569551.919956</v>
      </c>
    </row>
    <row r="65" spans="1:44" x14ac:dyDescent="0.45">
      <c r="B65" s="12" t="s">
        <v>38</v>
      </c>
      <c r="C65" s="9" t="s">
        <v>44</v>
      </c>
      <c r="D65" s="13">
        <f t="shared" si="0"/>
        <v>24210605339.15625</v>
      </c>
      <c r="L65" s="12" t="s">
        <v>38</v>
      </c>
      <c r="M65" s="9" t="s">
        <v>44</v>
      </c>
      <c r="N65" s="13">
        <f t="shared" si="1"/>
        <v>11453402331.192261</v>
      </c>
      <c r="V65" s="12" t="s">
        <v>38</v>
      </c>
      <c r="W65" s="9" t="s">
        <v>44</v>
      </c>
      <c r="X65" s="13">
        <f t="shared" si="2"/>
        <v>5936413852.9190903</v>
      </c>
      <c r="AF65" s="12" t="s">
        <v>38</v>
      </c>
      <c r="AG65" s="9" t="s">
        <v>44</v>
      </c>
      <c r="AH65" s="13">
        <f t="shared" si="3"/>
        <v>1772129548933.8218</v>
      </c>
      <c r="AP65" s="12" t="s">
        <v>38</v>
      </c>
      <c r="AQ65" s="70" t="s">
        <v>44</v>
      </c>
      <c r="AR65" s="13">
        <f t="shared" si="4"/>
        <v>1813729970457.0894</v>
      </c>
    </row>
    <row r="66" spans="1:44" x14ac:dyDescent="0.45">
      <c r="B66" s="12" t="s">
        <v>45</v>
      </c>
      <c r="C66" s="9" t="s">
        <v>46</v>
      </c>
      <c r="D66" s="13">
        <f t="shared" si="0"/>
        <v>1909929.65625</v>
      </c>
      <c r="L66" s="12" t="s">
        <v>45</v>
      </c>
      <c r="M66" s="9" t="s">
        <v>46</v>
      </c>
      <c r="N66" s="13">
        <f t="shared" si="1"/>
        <v>923227.00158691406</v>
      </c>
      <c r="V66" s="12" t="s">
        <v>45</v>
      </c>
      <c r="W66" s="9" t="s">
        <v>46</v>
      </c>
      <c r="X66" s="13">
        <f t="shared" si="2"/>
        <v>197407237.80907497</v>
      </c>
      <c r="AF66" s="12" t="s">
        <v>45</v>
      </c>
      <c r="AG66" s="9" t="s">
        <v>46</v>
      </c>
      <c r="AH66" s="13">
        <f t="shared" si="3"/>
        <v>0</v>
      </c>
      <c r="AP66" s="12" t="s">
        <v>45</v>
      </c>
      <c r="AQ66" s="70" t="s">
        <v>46</v>
      </c>
      <c r="AR66" s="13">
        <f t="shared" si="4"/>
        <v>200240394.46691188</v>
      </c>
    </row>
    <row r="67" spans="1:44" x14ac:dyDescent="0.45">
      <c r="B67" s="12" t="s">
        <v>45</v>
      </c>
      <c r="C67" s="9" t="s">
        <v>47</v>
      </c>
      <c r="D67" s="13">
        <f t="shared" si="0"/>
        <v>1291007.8125</v>
      </c>
      <c r="L67" s="12" t="s">
        <v>45</v>
      </c>
      <c r="M67" s="9" t="s">
        <v>47</v>
      </c>
      <c r="N67" s="13">
        <f t="shared" si="1"/>
        <v>651176.53637695313</v>
      </c>
      <c r="V67" s="12" t="s">
        <v>45</v>
      </c>
      <c r="W67" s="9" t="s">
        <v>47</v>
      </c>
      <c r="X67" s="13">
        <f t="shared" si="2"/>
        <v>82031048.601599991</v>
      </c>
      <c r="AF67" s="12" t="s">
        <v>45</v>
      </c>
      <c r="AG67" s="9" t="s">
        <v>47</v>
      </c>
      <c r="AH67" s="13">
        <f t="shared" si="3"/>
        <v>0</v>
      </c>
      <c r="AP67" s="12" t="s">
        <v>45</v>
      </c>
      <c r="AQ67" s="70" t="s">
        <v>47</v>
      </c>
      <c r="AR67" s="13">
        <f t="shared" si="4"/>
        <v>83973232.950476944</v>
      </c>
    </row>
    <row r="68" spans="1:44" x14ac:dyDescent="0.45">
      <c r="B68" s="12" t="s">
        <v>45</v>
      </c>
      <c r="C68" s="9" t="s">
        <v>48</v>
      </c>
      <c r="D68" s="13">
        <f t="shared" si="0"/>
        <v>10930546131.75</v>
      </c>
      <c r="L68" s="12" t="s">
        <v>45</v>
      </c>
      <c r="M68" s="9" t="s">
        <v>48</v>
      </c>
      <c r="N68" s="13">
        <f t="shared" si="1"/>
        <v>5167415285.7099609</v>
      </c>
      <c r="V68" s="12" t="s">
        <v>45</v>
      </c>
      <c r="W68" s="9" t="s">
        <v>48</v>
      </c>
      <c r="X68" s="13">
        <f t="shared" si="2"/>
        <v>759374324378.35681</v>
      </c>
      <c r="AF68" s="12" t="s">
        <v>45</v>
      </c>
      <c r="AG68" s="9" t="s">
        <v>48</v>
      </c>
      <c r="AH68" s="13">
        <f t="shared" si="3"/>
        <v>9588810140.4990253</v>
      </c>
      <c r="AP68" s="12" t="s">
        <v>45</v>
      </c>
      <c r="AQ68" s="70" t="s">
        <v>48</v>
      </c>
      <c r="AR68" s="13">
        <f t="shared" si="4"/>
        <v>785061095936.3158</v>
      </c>
    </row>
    <row r="69" spans="1:44" x14ac:dyDescent="0.45">
      <c r="B69" s="12" t="s">
        <v>49</v>
      </c>
      <c r="C69" s="9" t="s">
        <v>50</v>
      </c>
      <c r="D69" s="13">
        <f t="shared" si="0"/>
        <v>1665137728.40625</v>
      </c>
      <c r="L69" s="12" t="s">
        <v>49</v>
      </c>
      <c r="M69" s="9" t="s">
        <v>50</v>
      </c>
      <c r="N69" s="13">
        <f t="shared" si="1"/>
        <v>787058241.2545166</v>
      </c>
      <c r="V69" s="12" t="s">
        <v>49</v>
      </c>
      <c r="W69" s="9" t="s">
        <v>50</v>
      </c>
      <c r="X69" s="13">
        <f t="shared" si="2"/>
        <v>13310051456.188379</v>
      </c>
      <c r="AF69" s="12" t="s">
        <v>49</v>
      </c>
      <c r="AG69" s="9" t="s">
        <v>50</v>
      </c>
      <c r="AH69" s="13">
        <f t="shared" si="3"/>
        <v>4081837153.2729497</v>
      </c>
      <c r="AP69" s="12" t="s">
        <v>49</v>
      </c>
      <c r="AQ69" s="70" t="s">
        <v>50</v>
      </c>
      <c r="AR69" s="13">
        <f t="shared" si="4"/>
        <v>19844084579.122097</v>
      </c>
    </row>
    <row r="70" spans="1:44" x14ac:dyDescent="0.45">
      <c r="B70" s="12" t="s">
        <v>49</v>
      </c>
      <c r="C70" s="9" t="s">
        <v>51</v>
      </c>
      <c r="D70" s="13">
        <f t="shared" si="0"/>
        <v>16604605129.21875</v>
      </c>
      <c r="L70" s="12" t="s">
        <v>49</v>
      </c>
      <c r="M70" s="9" t="s">
        <v>51</v>
      </c>
      <c r="N70" s="13">
        <f t="shared" si="1"/>
        <v>7848431246.5960693</v>
      </c>
      <c r="V70" s="12" t="s">
        <v>49</v>
      </c>
      <c r="W70" s="9" t="s">
        <v>51</v>
      </c>
      <c r="X70" s="13">
        <f t="shared" si="2"/>
        <v>131022162266.03719</v>
      </c>
      <c r="AF70" s="12" t="s">
        <v>49</v>
      </c>
      <c r="AG70" s="9" t="s">
        <v>51</v>
      </c>
      <c r="AH70" s="13">
        <f t="shared" si="3"/>
        <v>5899429171.9863291</v>
      </c>
      <c r="AP70" s="12" t="s">
        <v>49</v>
      </c>
      <c r="AQ70" s="70" t="s">
        <v>51</v>
      </c>
      <c r="AR70" s="13">
        <f t="shared" si="4"/>
        <v>161374627813.83832</v>
      </c>
    </row>
    <row r="71" spans="1:44" x14ac:dyDescent="0.45">
      <c r="B71" s="12" t="s">
        <v>49</v>
      </c>
      <c r="C71" s="9" t="s">
        <v>52</v>
      </c>
      <c r="D71" s="13">
        <f t="shared" si="0"/>
        <v>51583916199.375</v>
      </c>
      <c r="L71" s="12" t="s">
        <v>49</v>
      </c>
      <c r="M71" s="9" t="s">
        <v>52</v>
      </c>
      <c r="N71" s="13">
        <f t="shared" si="1"/>
        <v>24381867366.442749</v>
      </c>
      <c r="V71" s="12" t="s">
        <v>49</v>
      </c>
      <c r="W71" s="9" t="s">
        <v>52</v>
      </c>
      <c r="X71" s="13">
        <f t="shared" si="2"/>
        <v>395798033974.11823</v>
      </c>
      <c r="AF71" s="12" t="s">
        <v>49</v>
      </c>
      <c r="AG71" s="9" t="s">
        <v>52</v>
      </c>
      <c r="AH71" s="13">
        <f t="shared" si="3"/>
        <v>13355471281.636232</v>
      </c>
      <c r="AP71" s="12" t="s">
        <v>49</v>
      </c>
      <c r="AQ71" s="70" t="s">
        <v>52</v>
      </c>
      <c r="AR71" s="13">
        <f t="shared" si="4"/>
        <v>485119288821.5722</v>
      </c>
    </row>
    <row r="72" spans="1:44" x14ac:dyDescent="0.45">
      <c r="B72" s="12" t="s">
        <v>49</v>
      </c>
      <c r="C72" s="9" t="s">
        <v>53</v>
      </c>
      <c r="D72" s="13">
        <f t="shared" si="0"/>
        <v>86154327</v>
      </c>
      <c r="L72" s="12" t="s">
        <v>49</v>
      </c>
      <c r="M72" s="9" t="s">
        <v>53</v>
      </c>
      <c r="N72" s="13">
        <f t="shared" si="1"/>
        <v>40864788.80859375</v>
      </c>
      <c r="V72" s="12" t="s">
        <v>49</v>
      </c>
      <c r="W72" s="9" t="s">
        <v>53</v>
      </c>
      <c r="X72" s="13">
        <f t="shared" si="2"/>
        <v>3179490449.1318607</v>
      </c>
      <c r="AF72" s="12" t="s">
        <v>49</v>
      </c>
      <c r="AG72" s="9" t="s">
        <v>53</v>
      </c>
      <c r="AH72" s="13">
        <f t="shared" si="3"/>
        <v>709594748.18408215</v>
      </c>
      <c r="AP72" s="12" t="s">
        <v>49</v>
      </c>
      <c r="AQ72" s="70" t="s">
        <v>74</v>
      </c>
      <c r="AR72" s="13">
        <f t="shared" si="4"/>
        <v>4016104313.1245365</v>
      </c>
    </row>
    <row r="73" spans="1:44" x14ac:dyDescent="0.45">
      <c r="B73" s="12" t="s">
        <v>54</v>
      </c>
      <c r="C73" s="9" t="s">
        <v>55</v>
      </c>
      <c r="D73" s="13">
        <f t="shared" si="0"/>
        <v>357260888.25</v>
      </c>
      <c r="L73" s="12" t="s">
        <v>54</v>
      </c>
      <c r="M73" s="9" t="s">
        <v>55</v>
      </c>
      <c r="N73" s="13">
        <f t="shared" si="1"/>
        <v>168902565.33691406</v>
      </c>
      <c r="V73" s="12" t="s">
        <v>54</v>
      </c>
      <c r="W73" s="9" t="s">
        <v>55</v>
      </c>
      <c r="X73" s="13">
        <f t="shared" si="2"/>
        <v>3916879931.7800903</v>
      </c>
      <c r="AF73" s="12" t="s">
        <v>54</v>
      </c>
      <c r="AG73" s="9" t="s">
        <v>55</v>
      </c>
      <c r="AH73" s="13">
        <f t="shared" si="3"/>
        <v>214614.75000000003</v>
      </c>
      <c r="AP73" s="12" t="s">
        <v>54</v>
      </c>
      <c r="AQ73" s="70" t="s">
        <v>55</v>
      </c>
      <c r="AR73" s="13">
        <f t="shared" si="4"/>
        <v>4443258000.1170044</v>
      </c>
    </row>
    <row r="74" spans="1:44" x14ac:dyDescent="0.45">
      <c r="B74" s="12" t="s">
        <v>54</v>
      </c>
      <c r="C74" s="9" t="s">
        <v>56</v>
      </c>
      <c r="D74" s="13">
        <f t="shared" si="0"/>
        <v>356958834.75</v>
      </c>
      <c r="L74" s="12" t="s">
        <v>54</v>
      </c>
      <c r="M74" s="9" t="s">
        <v>56</v>
      </c>
      <c r="N74" s="13">
        <f t="shared" si="1"/>
        <v>168759797.86230469</v>
      </c>
      <c r="V74" s="12" t="s">
        <v>54</v>
      </c>
      <c r="W74" s="9" t="s">
        <v>56</v>
      </c>
      <c r="X74" s="13">
        <f t="shared" si="2"/>
        <v>3917280474.0095901</v>
      </c>
      <c r="AF74" s="12" t="s">
        <v>54</v>
      </c>
      <c r="AG74" s="9" t="s">
        <v>56</v>
      </c>
      <c r="AH74" s="13">
        <f t="shared" si="3"/>
        <v>214614.75000000003</v>
      </c>
      <c r="AP74" s="12" t="s">
        <v>54</v>
      </c>
      <c r="AQ74" s="70" t="s">
        <v>56</v>
      </c>
      <c r="AR74" s="13">
        <f t="shared" si="4"/>
        <v>4443213721.3718948</v>
      </c>
    </row>
    <row r="75" spans="1:44" ht="17.5" thickBot="1" x14ac:dyDescent="0.5">
      <c r="B75" s="14" t="s">
        <v>54</v>
      </c>
      <c r="C75" s="15" t="s">
        <v>57</v>
      </c>
      <c r="D75" s="16">
        <f t="shared" si="0"/>
        <v>1281016343.25</v>
      </c>
      <c r="L75" s="14" t="s">
        <v>54</v>
      </c>
      <c r="M75" s="15" t="s">
        <v>57</v>
      </c>
      <c r="N75" s="16">
        <f t="shared" si="1"/>
        <v>610678909.66113281</v>
      </c>
      <c r="V75" s="14" t="s">
        <v>54</v>
      </c>
      <c r="W75" s="15" t="s">
        <v>57</v>
      </c>
      <c r="X75" s="16">
        <f t="shared" si="2"/>
        <v>168640455103.27679</v>
      </c>
      <c r="AF75" s="14" t="s">
        <v>54</v>
      </c>
      <c r="AG75" s="15" t="s">
        <v>57</v>
      </c>
      <c r="AH75" s="16">
        <f t="shared" si="3"/>
        <v>100950417989.96706</v>
      </c>
      <c r="AP75" s="14" t="s">
        <v>54</v>
      </c>
      <c r="AQ75" s="71" t="s">
        <v>57</v>
      </c>
      <c r="AR75" s="16">
        <f t="shared" si="4"/>
        <v>271482568346.15497</v>
      </c>
    </row>
    <row r="78" spans="1:44" x14ac:dyDescent="0.45">
      <c r="A78" s="9"/>
      <c r="B78" s="9"/>
      <c r="C78" s="9"/>
    </row>
    <row r="79" spans="1:44" x14ac:dyDescent="0.45">
      <c r="A79" s="9"/>
      <c r="B79" s="9"/>
      <c r="C79" s="9"/>
      <c r="D79" s="9"/>
      <c r="L79" s="9"/>
      <c r="M79" s="9"/>
      <c r="N79" s="9"/>
      <c r="V79" s="9"/>
      <c r="W79" s="9"/>
      <c r="X79" s="9"/>
      <c r="AF79" s="9"/>
      <c r="AG79" s="9"/>
      <c r="AH79" s="9"/>
      <c r="AP79" s="9"/>
      <c r="AQ79" s="9"/>
      <c r="AR79" s="9"/>
    </row>
    <row r="80" spans="1:44" x14ac:dyDescent="0.45">
      <c r="A80" s="9"/>
      <c r="B80" s="9"/>
      <c r="C80" s="9"/>
      <c r="D80" s="9"/>
      <c r="L80" s="9"/>
      <c r="M80" s="9"/>
      <c r="N80" s="9"/>
      <c r="V80" s="9"/>
      <c r="W80" s="9"/>
      <c r="X80" s="9"/>
      <c r="AF80" s="9"/>
      <c r="AG80" s="9"/>
      <c r="AH80" s="9"/>
      <c r="AP80" s="9"/>
      <c r="AQ80" s="9"/>
      <c r="AR80" s="9"/>
    </row>
    <row r="81" spans="1:53" x14ac:dyDescent="0.45">
      <c r="A81" s="9"/>
      <c r="B81" s="9"/>
      <c r="C81" s="9"/>
    </row>
    <row r="82" spans="1:53" x14ac:dyDescent="0.45">
      <c r="A82" s="9"/>
      <c r="B82" s="9"/>
      <c r="C82" s="9"/>
    </row>
    <row r="83" spans="1:53" x14ac:dyDescent="0.45">
      <c r="A83" s="9"/>
      <c r="B83" s="9"/>
      <c r="C83" s="9"/>
    </row>
    <row r="84" spans="1:53" x14ac:dyDescent="0.45">
      <c r="A84" s="9"/>
      <c r="B84" s="9"/>
      <c r="C84" s="9"/>
    </row>
    <row r="85" spans="1:53" x14ac:dyDescent="0.45">
      <c r="A85" s="9"/>
      <c r="B85" s="9"/>
      <c r="C85" s="9"/>
      <c r="D85" s="9"/>
      <c r="L85" s="9"/>
      <c r="M85" s="9"/>
      <c r="N85" s="9"/>
      <c r="V85" s="9"/>
      <c r="W85" s="9"/>
      <c r="X85" s="9"/>
      <c r="AF85" s="9"/>
      <c r="AG85" s="9"/>
      <c r="AH85" s="9"/>
      <c r="AP85" s="9"/>
      <c r="AQ85" s="9"/>
      <c r="AR85" s="9"/>
    </row>
    <row r="86" spans="1:53" x14ac:dyDescent="0.45">
      <c r="A86" s="9"/>
      <c r="B86" s="9"/>
      <c r="C86" s="9"/>
    </row>
    <row r="87" spans="1:53" x14ac:dyDescent="0.45">
      <c r="A87" s="9"/>
      <c r="B87" s="9"/>
      <c r="C87" s="9"/>
    </row>
    <row r="91" spans="1:53" x14ac:dyDescent="0.45">
      <c r="A91" s="9"/>
      <c r="B91" s="9"/>
      <c r="C91" s="9"/>
    </row>
    <row r="92" spans="1:53" ht="17.5" thickBot="1" x14ac:dyDescent="0.5">
      <c r="A92" s="9"/>
      <c r="B92" s="10" t="s">
        <v>120</v>
      </c>
      <c r="L92" s="10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</row>
    <row r="93" spans="1:53" x14ac:dyDescent="0.45">
      <c r="A93" s="9"/>
      <c r="B93" s="25"/>
      <c r="C93" s="11"/>
      <c r="D93" s="19" t="s">
        <v>78</v>
      </c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</row>
    <row r="94" spans="1:53" x14ac:dyDescent="0.45">
      <c r="A94" s="9"/>
      <c r="B94" s="65" t="s">
        <v>38</v>
      </c>
      <c r="C94" s="66" t="s">
        <v>39</v>
      </c>
      <c r="D94" s="13">
        <v>89554334650.188538</v>
      </c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</row>
    <row r="95" spans="1:53" x14ac:dyDescent="0.45">
      <c r="A95" s="9"/>
      <c r="B95" s="65" t="s">
        <v>38</v>
      </c>
      <c r="C95" s="66" t="s">
        <v>40</v>
      </c>
      <c r="D95" s="13">
        <v>396240498.36808825</v>
      </c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</row>
    <row r="96" spans="1:53" x14ac:dyDescent="0.45">
      <c r="A96" s="9"/>
      <c r="B96" s="65" t="s">
        <v>38</v>
      </c>
      <c r="C96" s="66" t="s">
        <v>41</v>
      </c>
      <c r="D96" s="13">
        <v>184037025.22993183</v>
      </c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</row>
    <row r="97" spans="1:53" x14ac:dyDescent="0.45">
      <c r="A97" s="9"/>
      <c r="B97" s="65" t="s">
        <v>38</v>
      </c>
      <c r="C97" s="66" t="s">
        <v>42</v>
      </c>
      <c r="D97" s="13">
        <v>4258939890.9173279</v>
      </c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</row>
    <row r="98" spans="1:53" x14ac:dyDescent="0.45">
      <c r="A98" s="9"/>
      <c r="B98" s="65" t="s">
        <v>38</v>
      </c>
      <c r="C98" s="66" t="s">
        <v>43</v>
      </c>
      <c r="D98" s="13">
        <v>27237569551.919956</v>
      </c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</row>
    <row r="99" spans="1:53" x14ac:dyDescent="0.45">
      <c r="A99" s="9"/>
      <c r="B99" s="65" t="s">
        <v>38</v>
      </c>
      <c r="C99" s="66" t="s">
        <v>44</v>
      </c>
      <c r="D99" s="13">
        <v>1813729970457.0894</v>
      </c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</row>
    <row r="100" spans="1:53" x14ac:dyDescent="0.45">
      <c r="A100" s="9"/>
      <c r="B100" s="65"/>
      <c r="C100" s="66"/>
      <c r="D100" s="13" t="s">
        <v>122</v>
      </c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</row>
    <row r="101" spans="1:53" x14ac:dyDescent="0.45">
      <c r="A101" s="9"/>
      <c r="B101" s="65" t="s">
        <v>45</v>
      </c>
      <c r="C101" s="66" t="s">
        <v>46</v>
      </c>
      <c r="D101" s="13">
        <v>200240394.46691188</v>
      </c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</row>
    <row r="102" spans="1:53" x14ac:dyDescent="0.45">
      <c r="A102" s="9"/>
      <c r="B102" s="65" t="s">
        <v>45</v>
      </c>
      <c r="C102" s="66" t="s">
        <v>47</v>
      </c>
      <c r="D102" s="13">
        <v>83973232.950476944</v>
      </c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</row>
    <row r="103" spans="1:53" x14ac:dyDescent="0.45">
      <c r="A103" s="9"/>
      <c r="B103" s="65" t="s">
        <v>45</v>
      </c>
      <c r="C103" s="66" t="s">
        <v>48</v>
      </c>
      <c r="D103" s="13">
        <v>785061095936.3158</v>
      </c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</row>
    <row r="104" spans="1:53" x14ac:dyDescent="0.45">
      <c r="A104" s="9"/>
      <c r="B104" s="65"/>
      <c r="C104" s="66"/>
      <c r="D104" s="13" t="s">
        <v>122</v>
      </c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</row>
    <row r="105" spans="1:53" x14ac:dyDescent="0.45">
      <c r="A105" s="9"/>
      <c r="B105" s="65" t="s">
        <v>49</v>
      </c>
      <c r="C105" s="66" t="s">
        <v>121</v>
      </c>
      <c r="D105" s="13">
        <v>19844084579.122097</v>
      </c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</row>
    <row r="106" spans="1:53" x14ac:dyDescent="0.45">
      <c r="A106" s="9"/>
      <c r="B106" s="65" t="s">
        <v>49</v>
      </c>
      <c r="C106" s="66" t="s">
        <v>51</v>
      </c>
      <c r="D106" s="13">
        <v>161374627813.83832</v>
      </c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</row>
    <row r="107" spans="1:53" x14ac:dyDescent="0.45">
      <c r="A107" s="9"/>
      <c r="B107" s="65" t="s">
        <v>49</v>
      </c>
      <c r="C107" s="66" t="s">
        <v>52</v>
      </c>
      <c r="D107" s="13">
        <v>485119288821.5722</v>
      </c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</row>
    <row r="108" spans="1:53" x14ac:dyDescent="0.45">
      <c r="A108" s="9"/>
      <c r="B108" s="65" t="s">
        <v>49</v>
      </c>
      <c r="C108" s="66" t="s">
        <v>53</v>
      </c>
      <c r="D108" s="13">
        <v>4016104313.1245365</v>
      </c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</row>
    <row r="109" spans="1:53" x14ac:dyDescent="0.45">
      <c r="A109" s="9"/>
      <c r="B109" s="65"/>
      <c r="C109" s="66"/>
      <c r="D109" s="13" t="s">
        <v>122</v>
      </c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</row>
    <row r="110" spans="1:53" x14ac:dyDescent="0.45">
      <c r="A110" s="9"/>
      <c r="B110" s="65" t="s">
        <v>54</v>
      </c>
      <c r="C110" s="66" t="s">
        <v>55</v>
      </c>
      <c r="D110" s="13">
        <v>4443258000.1170044</v>
      </c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</row>
    <row r="111" spans="1:53" x14ac:dyDescent="0.45">
      <c r="A111" s="9"/>
      <c r="B111" s="65" t="s">
        <v>54</v>
      </c>
      <c r="C111" s="66" t="s">
        <v>56</v>
      </c>
      <c r="D111" s="13">
        <v>4443213721.3718948</v>
      </c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</row>
    <row r="112" spans="1:53" x14ac:dyDescent="0.45">
      <c r="A112" s="9"/>
      <c r="B112" s="65" t="s">
        <v>54</v>
      </c>
      <c r="C112" s="66" t="s">
        <v>57</v>
      </c>
      <c r="D112" s="13">
        <v>271482568346.15497</v>
      </c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</row>
    <row r="113" spans="1:53" x14ac:dyDescent="0.45">
      <c r="A113" s="9"/>
      <c r="B113" s="12"/>
      <c r="C113" s="9"/>
      <c r="D113" s="13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</row>
    <row r="114" spans="1:53" ht="17.5" thickBot="1" x14ac:dyDescent="0.5">
      <c r="A114" s="9"/>
      <c r="B114" s="67" t="s">
        <v>123</v>
      </c>
      <c r="C114" s="15"/>
      <c r="D114" s="68">
        <v>12924927269.18924</v>
      </c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</row>
    <row r="115" spans="1:53" x14ac:dyDescent="0.4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</row>
    <row r="116" spans="1:53" x14ac:dyDescent="0.4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</row>
    <row r="117" spans="1:53" x14ac:dyDescent="0.4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</row>
    <row r="118" spans="1:53" x14ac:dyDescent="0.4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</row>
    <row r="119" spans="1:53" x14ac:dyDescent="0.4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</row>
    <row r="120" spans="1:53" x14ac:dyDescent="0.4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</row>
    <row r="121" spans="1:53" x14ac:dyDescent="0.4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</row>
    <row r="122" spans="1:53" x14ac:dyDescent="0.4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</row>
    <row r="123" spans="1:53" x14ac:dyDescent="0.4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</row>
    <row r="124" spans="1:53" x14ac:dyDescent="0.4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</row>
    <row r="125" spans="1:53" x14ac:dyDescent="0.4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</row>
    <row r="126" spans="1:53" x14ac:dyDescent="0.4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</row>
    <row r="127" spans="1:53" x14ac:dyDescent="0.4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</row>
    <row r="128" spans="1:53" x14ac:dyDescent="0.4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</row>
    <row r="129" spans="1:53" x14ac:dyDescent="0.4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</row>
    <row r="130" spans="1:53" x14ac:dyDescent="0.4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</row>
    <row r="131" spans="1:53" x14ac:dyDescent="0.4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</row>
    <row r="132" spans="1:53" x14ac:dyDescent="0.4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</row>
    <row r="133" spans="1:53" x14ac:dyDescent="0.4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</row>
    <row r="134" spans="1:53" x14ac:dyDescent="0.4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</row>
    <row r="135" spans="1:53" x14ac:dyDescent="0.4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</row>
    <row r="136" spans="1:53" x14ac:dyDescent="0.4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</row>
    <row r="137" spans="1:53" x14ac:dyDescent="0.4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</row>
    <row r="138" spans="1:53" x14ac:dyDescent="0.4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</row>
    <row r="139" spans="1:53" x14ac:dyDescent="0.4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</row>
    <row r="140" spans="1:53" x14ac:dyDescent="0.4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</row>
    <row r="141" spans="1:53" x14ac:dyDescent="0.4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</row>
    <row r="142" spans="1:53" x14ac:dyDescent="0.4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</row>
    <row r="143" spans="1:53" x14ac:dyDescent="0.4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</row>
    <row r="144" spans="1:53" x14ac:dyDescent="0.4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</row>
    <row r="145" spans="1:53" x14ac:dyDescent="0.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</row>
    <row r="146" spans="1:53" x14ac:dyDescent="0.4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</row>
    <row r="147" spans="1:53" x14ac:dyDescent="0.4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</row>
    <row r="148" spans="1:53" x14ac:dyDescent="0.4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</row>
    <row r="149" spans="1:53" x14ac:dyDescent="0.4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</row>
    <row r="150" spans="1:53" x14ac:dyDescent="0.4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</row>
    <row r="151" spans="1:53" x14ac:dyDescent="0.4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</row>
    <row r="152" spans="1:53" x14ac:dyDescent="0.4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</row>
    <row r="153" spans="1:53" x14ac:dyDescent="0.4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</row>
    <row r="154" spans="1:53" x14ac:dyDescent="0.4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</row>
    <row r="155" spans="1:53" x14ac:dyDescent="0.4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</row>
    <row r="156" spans="1:53" x14ac:dyDescent="0.4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</row>
    <row r="157" spans="1:53" x14ac:dyDescent="0.4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</row>
    <row r="158" spans="1:53" x14ac:dyDescent="0.4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</row>
    <row r="159" spans="1:53" x14ac:dyDescent="0.4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</row>
    <row r="161" spans="7:14" x14ac:dyDescent="0.45">
      <c r="N161" s="9"/>
    </row>
    <row r="162" spans="7:14" x14ac:dyDescent="0.45">
      <c r="G162" s="9"/>
      <c r="H162" s="9"/>
    </row>
    <row r="168" spans="7:14" x14ac:dyDescent="0.45">
      <c r="H168" s="9"/>
    </row>
    <row r="174" spans="7:14" x14ac:dyDescent="0.45">
      <c r="H174" s="9"/>
    </row>
    <row r="180" spans="8:8" x14ac:dyDescent="0.45">
      <c r="H180" s="9"/>
    </row>
    <row r="186" spans="8:8" x14ac:dyDescent="0.45">
      <c r="H186" s="9"/>
    </row>
    <row r="192" spans="8:8" x14ac:dyDescent="0.45">
      <c r="H192" s="9"/>
    </row>
    <row r="198" spans="8:29" x14ac:dyDescent="0.45">
      <c r="H198" s="9"/>
    </row>
    <row r="204" spans="8:29" x14ac:dyDescent="0.45">
      <c r="H204" s="9"/>
    </row>
    <row r="208" spans="8:29" x14ac:dyDescent="0.45">
      <c r="Z208" s="9"/>
      <c r="AA208" s="9"/>
      <c r="AB208" s="9"/>
      <c r="AC208" s="9"/>
    </row>
    <row r="210" spans="8:8" x14ac:dyDescent="0.45">
      <c r="H210" s="9"/>
    </row>
    <row r="216" spans="8:8" x14ac:dyDescent="0.45">
      <c r="H216" s="9"/>
    </row>
    <row r="228" spans="7:8" x14ac:dyDescent="0.45">
      <c r="G228" s="9"/>
      <c r="H228" s="9"/>
    </row>
    <row r="234" spans="7:8" x14ac:dyDescent="0.45">
      <c r="H234" s="9"/>
    </row>
    <row r="240" spans="7:8" x14ac:dyDescent="0.45">
      <c r="H240" s="9"/>
    </row>
    <row r="252" spans="7:8" x14ac:dyDescent="0.45">
      <c r="G252" s="9"/>
      <c r="H252" s="9"/>
    </row>
    <row r="258" spans="8:8" x14ac:dyDescent="0.45">
      <c r="H258" s="9"/>
    </row>
    <row r="264" spans="8:8" x14ac:dyDescent="0.45">
      <c r="H264" s="9"/>
    </row>
    <row r="276" spans="7:8" x14ac:dyDescent="0.45">
      <c r="G276" s="9"/>
      <c r="H276" s="9"/>
    </row>
    <row r="282" spans="7:8" x14ac:dyDescent="0.45">
      <c r="H282" s="9"/>
    </row>
    <row r="288" spans="7:8" x14ac:dyDescent="0.45">
      <c r="H288" s="9"/>
    </row>
    <row r="300" spans="8:8" x14ac:dyDescent="0.45">
      <c r="H300" s="9"/>
    </row>
    <row r="306" spans="7:8" x14ac:dyDescent="0.45">
      <c r="H306" s="9"/>
    </row>
    <row r="318" spans="7:8" x14ac:dyDescent="0.45">
      <c r="G318" s="9"/>
      <c r="H318" s="9"/>
    </row>
    <row r="324" spans="8:8" x14ac:dyDescent="0.45">
      <c r="H324" s="9"/>
    </row>
    <row r="330" spans="8:8" x14ac:dyDescent="0.45">
      <c r="H330" s="9"/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A7FAA-0FDC-425D-836D-FD13F71CB8F4}">
  <dimension ref="B1:AR114"/>
  <sheetViews>
    <sheetView topLeftCell="O40" zoomScale="55" zoomScaleNormal="55" workbookViewId="0">
      <selection activeCell="L92" sqref="L92"/>
    </sheetView>
  </sheetViews>
  <sheetFormatPr defaultRowHeight="17" x14ac:dyDescent="0.45"/>
  <cols>
    <col min="4" max="4" width="12.5" bestFit="1" customWidth="1"/>
    <col min="7" max="7" width="9.1640625" bestFit="1" customWidth="1"/>
    <col min="14" max="17" width="12.08203125" bestFit="1" customWidth="1"/>
    <col min="18" max="18" width="10.33203125" bestFit="1" customWidth="1"/>
    <col min="19" max="21" width="12.08203125" bestFit="1" customWidth="1"/>
    <col min="24" max="24" width="12.08203125" bestFit="1" customWidth="1"/>
    <col min="25" max="25" width="11.25" bestFit="1" customWidth="1"/>
    <col min="27" max="27" width="12.33203125" bestFit="1" customWidth="1"/>
    <col min="34" max="34" width="12.08203125" bestFit="1" customWidth="1"/>
    <col min="44" max="44" width="12.5" bestFit="1" customWidth="1"/>
  </cols>
  <sheetData>
    <row r="1" spans="2:17" ht="17.5" thickBot="1" x14ac:dyDescent="0.5"/>
    <row r="2" spans="2:17" ht="17.5" thickBot="1" x14ac:dyDescent="0.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spans="2:17" x14ac:dyDescent="0.45">
      <c r="B3" s="4"/>
      <c r="C3" s="1" t="s">
        <v>0</v>
      </c>
      <c r="D3" s="3"/>
      <c r="F3" s="1" t="s">
        <v>1</v>
      </c>
      <c r="G3" s="3"/>
      <c r="I3" s="1" t="s">
        <v>2</v>
      </c>
      <c r="J3" s="3"/>
      <c r="L3" s="1" t="s">
        <v>3</v>
      </c>
      <c r="M3" s="3"/>
      <c r="O3" s="1" t="s">
        <v>4</v>
      </c>
      <c r="P3" s="3"/>
      <c r="Q3" s="5"/>
    </row>
    <row r="4" spans="2:17" ht="17.5" thickBot="1" x14ac:dyDescent="0.5">
      <c r="B4" s="4"/>
      <c r="C4" s="31" t="s">
        <v>5</v>
      </c>
      <c r="D4" s="5">
        <v>0.625</v>
      </c>
      <c r="F4" s="4" t="s">
        <v>6</v>
      </c>
      <c r="G4" s="36">
        <v>47.421050000000001</v>
      </c>
      <c r="H4" s="20"/>
      <c r="I4" s="6" t="s">
        <v>7</v>
      </c>
      <c r="J4" s="7">
        <v>1.05</v>
      </c>
      <c r="L4" s="4" t="s">
        <v>8</v>
      </c>
      <c r="M4" s="5">
        <v>8</v>
      </c>
      <c r="O4" s="4" t="s">
        <v>9</v>
      </c>
      <c r="P4" s="5">
        <f>J4*(G8-G14)*(M4/M5)*D8</f>
        <v>310.15170703125</v>
      </c>
      <c r="Q4" s="5"/>
    </row>
    <row r="5" spans="2:17" x14ac:dyDescent="0.45">
      <c r="B5" s="4"/>
      <c r="C5" s="31" t="s">
        <v>10</v>
      </c>
      <c r="D5" s="5">
        <v>55</v>
      </c>
      <c r="F5" s="4" t="s">
        <v>11</v>
      </c>
      <c r="G5" s="5"/>
      <c r="H5" s="21"/>
      <c r="L5" s="4" t="s">
        <v>12</v>
      </c>
      <c r="M5" s="5">
        <v>4</v>
      </c>
      <c r="O5" s="4" t="s">
        <v>13</v>
      </c>
      <c r="P5" s="5">
        <f>J4*(G9-G14)*(M4/M5)*D8</f>
        <v>207.76587890624998</v>
      </c>
      <c r="Q5" s="5"/>
    </row>
    <row r="6" spans="2:17" x14ac:dyDescent="0.45">
      <c r="B6" s="4"/>
      <c r="C6" s="31" t="s">
        <v>14</v>
      </c>
      <c r="D6" s="5">
        <v>30</v>
      </c>
      <c r="F6" s="4" t="s">
        <v>15</v>
      </c>
      <c r="G6" s="5">
        <v>44.875</v>
      </c>
      <c r="H6" s="21"/>
      <c r="L6" s="4" t="s">
        <v>16</v>
      </c>
      <c r="M6" s="5">
        <v>0.33</v>
      </c>
      <c r="O6" s="4" t="s">
        <v>17</v>
      </c>
      <c r="P6" s="5">
        <f>J4*(G12-G13)*D5</f>
        <v>37.907190234375065</v>
      </c>
      <c r="Q6" s="5"/>
    </row>
    <row r="7" spans="2:17" ht="17.5" thickBot="1" x14ac:dyDescent="0.5">
      <c r="B7" s="4"/>
      <c r="C7" s="31" t="s">
        <v>18</v>
      </c>
      <c r="D7" s="5">
        <v>90</v>
      </c>
      <c r="F7" s="31" t="s">
        <v>19</v>
      </c>
      <c r="G7" s="5">
        <v>47.6875</v>
      </c>
      <c r="H7" s="21"/>
      <c r="K7" s="22"/>
      <c r="L7" t="s">
        <v>20</v>
      </c>
      <c r="M7" s="22">
        <v>0.65</v>
      </c>
      <c r="O7" s="6" t="s">
        <v>21</v>
      </c>
      <c r="P7" s="7">
        <f>J4*(G11-G6)*D6</f>
        <v>80.200575000000043</v>
      </c>
      <c r="Q7" s="5"/>
    </row>
    <row r="8" spans="2:17" ht="17.5" thickBot="1" x14ac:dyDescent="0.5">
      <c r="B8" s="57"/>
      <c r="C8" s="23" t="s">
        <v>22</v>
      </c>
      <c r="D8" s="7">
        <f>D4/2</f>
        <v>0.3125</v>
      </c>
      <c r="F8" s="31" t="s">
        <v>23</v>
      </c>
      <c r="G8" s="5">
        <v>521.28399999999999</v>
      </c>
      <c r="H8" s="21"/>
      <c r="L8" s="4" t="s">
        <v>24</v>
      </c>
      <c r="M8" s="22">
        <v>1</v>
      </c>
      <c r="Q8" s="5"/>
    </row>
    <row r="9" spans="2:17" ht="17.5" thickBot="1" x14ac:dyDescent="0.5">
      <c r="B9" s="4"/>
      <c r="F9" s="32" t="s">
        <v>25</v>
      </c>
      <c r="G9" s="7">
        <v>365.26749999999998</v>
      </c>
      <c r="H9" s="21"/>
      <c r="L9" s="6" t="s">
        <v>26</v>
      </c>
      <c r="M9" s="7">
        <v>16</v>
      </c>
      <c r="O9" s="1" t="s">
        <v>27</v>
      </c>
      <c r="P9" s="3"/>
      <c r="Q9" s="5"/>
    </row>
    <row r="10" spans="2:17" ht="17.5" thickBot="1" x14ac:dyDescent="0.5">
      <c r="B10" s="4"/>
      <c r="F10" s="58"/>
      <c r="O10" s="4" t="s">
        <v>28</v>
      </c>
      <c r="P10" s="5">
        <f>(G4-(G7*D5/D7+G6*(D7-D5)/D7))*J4</f>
        <v>0.86866500000000113</v>
      </c>
      <c r="Q10" s="5"/>
    </row>
    <row r="11" spans="2:17" ht="17.5" thickBot="1" x14ac:dyDescent="0.5">
      <c r="B11" s="4"/>
      <c r="E11" s="22"/>
      <c r="F11" t="s">
        <v>29</v>
      </c>
      <c r="G11" s="3">
        <f>G4</f>
        <v>47.421050000000001</v>
      </c>
      <c r="O11" s="4" t="s">
        <v>30</v>
      </c>
      <c r="P11" s="5">
        <f>(G8-G7)*J4</f>
        <v>497.27632499999999</v>
      </c>
      <c r="Q11" s="5"/>
    </row>
    <row r="12" spans="2:17" x14ac:dyDescent="0.45">
      <c r="B12" s="4"/>
      <c r="E12" s="22"/>
      <c r="F12" t="s">
        <v>31</v>
      </c>
      <c r="G12" s="5">
        <f>(G4*(D6+D5)-G11*D6)*(1/D5)</f>
        <v>47.421050000000001</v>
      </c>
      <c r="H12" s="57"/>
      <c r="I12" s="11" t="s">
        <v>67</v>
      </c>
      <c r="J12" s="11" t="s">
        <v>68</v>
      </c>
      <c r="K12" s="11" t="s">
        <v>69</v>
      </c>
      <c r="L12" s="26" t="s">
        <v>70</v>
      </c>
      <c r="O12" s="4" t="s">
        <v>32</v>
      </c>
      <c r="P12" s="5">
        <f>(G9-G7)*J4</f>
        <v>333.459</v>
      </c>
      <c r="Q12" s="5"/>
    </row>
    <row r="13" spans="2:17" ht="17.5" thickBot="1" x14ac:dyDescent="0.5">
      <c r="B13" s="4"/>
      <c r="E13" s="22"/>
      <c r="F13" t="s">
        <v>33</v>
      </c>
      <c r="G13" s="5">
        <f>(1/M9)*(G7+(M9-1)*(M7*(G7-G6)+G6))</f>
        <v>46.7646484375</v>
      </c>
      <c r="H13" s="57"/>
      <c r="I13" s="23">
        <v>1.1000000000000001</v>
      </c>
      <c r="J13" s="23">
        <v>1.1000000000000001</v>
      </c>
      <c r="K13" s="23">
        <v>1.18</v>
      </c>
      <c r="L13" s="24">
        <v>1.22</v>
      </c>
      <c r="N13" s="22"/>
      <c r="O13" t="s">
        <v>34</v>
      </c>
      <c r="P13" s="5">
        <f>J4*G7</f>
        <v>50.071874999999999</v>
      </c>
      <c r="Q13" s="5"/>
    </row>
    <row r="14" spans="2:17" x14ac:dyDescent="0.45">
      <c r="B14" s="4"/>
      <c r="E14" s="22"/>
      <c r="F14" t="s">
        <v>35</v>
      </c>
      <c r="G14" s="5">
        <f>G7+G7-G15</f>
        <v>48.671875</v>
      </c>
      <c r="N14" s="22"/>
      <c r="O14" t="s">
        <v>17</v>
      </c>
      <c r="P14" s="5">
        <f>P10*D5</f>
        <v>47.776575000000065</v>
      </c>
      <c r="Q14" s="5"/>
    </row>
    <row r="15" spans="2:17" ht="17.5" thickBot="1" x14ac:dyDescent="0.5">
      <c r="B15" s="4"/>
      <c r="E15" s="22"/>
      <c r="F15" s="28" t="s">
        <v>36</v>
      </c>
      <c r="G15" s="7">
        <f>M7*(G7-G6)+G6</f>
        <v>46.703125</v>
      </c>
      <c r="O15" s="4" t="s">
        <v>37</v>
      </c>
      <c r="P15" s="5">
        <f>P11*M4/M5*D8</f>
        <v>310.797703125</v>
      </c>
      <c r="Q15" s="5"/>
    </row>
    <row r="16" spans="2:17" ht="17.5" thickBot="1" x14ac:dyDescent="0.5">
      <c r="B16" s="4"/>
      <c r="O16" s="6" t="s">
        <v>13</v>
      </c>
      <c r="P16" s="7">
        <f>P12*M4/M5*D8</f>
        <v>208.41187500000001</v>
      </c>
      <c r="Q16" s="5"/>
    </row>
    <row r="17" spans="2:34" x14ac:dyDescent="0.45">
      <c r="B17" s="4"/>
      <c r="Q17" s="5"/>
    </row>
    <row r="18" spans="2:34" ht="17.5" thickBot="1" x14ac:dyDescent="0.5">
      <c r="B18" s="6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7"/>
    </row>
    <row r="24" spans="2:34" ht="17.5" thickBot="1" x14ac:dyDescent="0.5">
      <c r="B24" s="10" t="s">
        <v>58</v>
      </c>
      <c r="L24" s="10" t="s">
        <v>59</v>
      </c>
      <c r="V24" s="10" t="s">
        <v>60</v>
      </c>
      <c r="AF24" s="10" t="s">
        <v>61</v>
      </c>
    </row>
    <row r="25" spans="2:34" x14ac:dyDescent="0.45">
      <c r="B25" s="17"/>
      <c r="C25" s="18"/>
      <c r="D25" s="19" t="s">
        <v>119</v>
      </c>
      <c r="L25" s="17"/>
      <c r="M25" s="18"/>
      <c r="N25" s="19" t="s">
        <v>119</v>
      </c>
      <c r="V25" s="17"/>
      <c r="W25" s="18"/>
      <c r="X25" s="19" t="s">
        <v>119</v>
      </c>
      <c r="AF25" s="17"/>
      <c r="AG25" s="18"/>
      <c r="AH25" s="19" t="s">
        <v>119</v>
      </c>
    </row>
    <row r="26" spans="2:34" x14ac:dyDescent="0.45">
      <c r="B26" s="12" t="s">
        <v>38</v>
      </c>
      <c r="C26" s="9" t="s">
        <v>39</v>
      </c>
      <c r="D26" s="13">
        <v>74731795</v>
      </c>
      <c r="L26" s="12" t="s">
        <v>38</v>
      </c>
      <c r="M26" s="9" t="s">
        <v>39</v>
      </c>
      <c r="N26" s="13">
        <v>74845077</v>
      </c>
      <c r="V26" s="12" t="s">
        <v>38</v>
      </c>
      <c r="W26" s="9" t="s">
        <v>39</v>
      </c>
      <c r="X26" s="13">
        <v>193837182</v>
      </c>
      <c r="AF26" s="12" t="s">
        <v>38</v>
      </c>
      <c r="AG26" s="9" t="s">
        <v>39</v>
      </c>
      <c r="AH26" s="13">
        <v>93411489</v>
      </c>
    </row>
    <row r="27" spans="2:34" x14ac:dyDescent="0.45">
      <c r="B27" s="12" t="s">
        <v>38</v>
      </c>
      <c r="C27" s="9" t="s">
        <v>40</v>
      </c>
      <c r="D27" s="13">
        <v>118954</v>
      </c>
      <c r="L27" s="12" t="s">
        <v>38</v>
      </c>
      <c r="M27" s="9" t="s">
        <v>40</v>
      </c>
      <c r="N27" s="13">
        <v>119978</v>
      </c>
      <c r="V27" s="12" t="s">
        <v>38</v>
      </c>
      <c r="W27" s="9" t="s">
        <v>40</v>
      </c>
      <c r="X27" s="13">
        <v>1207960</v>
      </c>
      <c r="AF27" s="12" t="s">
        <v>38</v>
      </c>
      <c r="AG27" s="9" t="s">
        <v>40</v>
      </c>
      <c r="AH27" s="13">
        <v>17088</v>
      </c>
    </row>
    <row r="28" spans="2:34" x14ac:dyDescent="0.45">
      <c r="B28" s="12" t="s">
        <v>38</v>
      </c>
      <c r="C28" s="9" t="s">
        <v>41</v>
      </c>
      <c r="D28" s="13">
        <v>11004</v>
      </c>
      <c r="L28" s="12" t="s">
        <v>38</v>
      </c>
      <c r="M28" s="9" t="s">
        <v>41</v>
      </c>
      <c r="N28" s="13">
        <v>11516</v>
      </c>
      <c r="V28" s="12" t="s">
        <v>38</v>
      </c>
      <c r="W28" s="9" t="s">
        <v>41</v>
      </c>
      <c r="X28" s="13">
        <v>467948</v>
      </c>
      <c r="AF28" s="12" t="s">
        <v>38</v>
      </c>
      <c r="AG28" s="9" t="s">
        <v>41</v>
      </c>
      <c r="AH28" s="13">
        <v>173392</v>
      </c>
    </row>
    <row r="29" spans="2:34" x14ac:dyDescent="0.45">
      <c r="B29" s="12" t="s">
        <v>38</v>
      </c>
      <c r="C29" s="9" t="s">
        <v>42</v>
      </c>
      <c r="D29" s="13">
        <v>864571</v>
      </c>
      <c r="L29" s="12" t="s">
        <v>38</v>
      </c>
      <c r="M29" s="9" t="s">
        <v>42</v>
      </c>
      <c r="N29" s="13">
        <v>869675</v>
      </c>
      <c r="V29" s="12" t="s">
        <v>38</v>
      </c>
      <c r="W29" s="9" t="s">
        <v>42</v>
      </c>
      <c r="X29" s="13">
        <v>6154216</v>
      </c>
      <c r="AF29" s="12" t="s">
        <v>38</v>
      </c>
      <c r="AG29" s="9" t="s">
        <v>42</v>
      </c>
      <c r="AH29" s="13">
        <v>10627558</v>
      </c>
    </row>
    <row r="30" spans="2:34" x14ac:dyDescent="0.45">
      <c r="B30" s="12" t="s">
        <v>38</v>
      </c>
      <c r="C30" s="9" t="s">
        <v>43</v>
      </c>
      <c r="D30" s="13">
        <v>15173646</v>
      </c>
      <c r="L30" s="12" t="s">
        <v>38</v>
      </c>
      <c r="M30" s="9" t="s">
        <v>43</v>
      </c>
      <c r="N30" s="13">
        <v>15185934</v>
      </c>
      <c r="V30" s="12" t="s">
        <v>38</v>
      </c>
      <c r="W30" s="9" t="s">
        <v>43</v>
      </c>
      <c r="X30" s="13">
        <v>59909624</v>
      </c>
      <c r="AF30" s="12" t="s">
        <v>38</v>
      </c>
      <c r="AG30" s="9" t="s">
        <v>43</v>
      </c>
      <c r="AH30" s="13">
        <v>31273372</v>
      </c>
    </row>
    <row r="31" spans="2:34" x14ac:dyDescent="0.45">
      <c r="B31" s="12" t="s">
        <v>38</v>
      </c>
      <c r="C31" s="9" t="s">
        <v>44</v>
      </c>
      <c r="D31" s="13">
        <v>286115841</v>
      </c>
      <c r="L31" s="12" t="s">
        <v>38</v>
      </c>
      <c r="M31" s="9" t="s">
        <v>44</v>
      </c>
      <c r="N31" s="13">
        <v>286368433</v>
      </c>
      <c r="V31" s="12" t="s">
        <v>38</v>
      </c>
      <c r="W31" s="9" t="s">
        <v>44</v>
      </c>
      <c r="X31" s="13">
        <v>18913536</v>
      </c>
      <c r="AF31" s="12" t="s">
        <v>38</v>
      </c>
      <c r="AG31" s="9" t="s">
        <v>44</v>
      </c>
      <c r="AH31" s="13">
        <v>8455685229</v>
      </c>
    </row>
    <row r="32" spans="2:34" x14ac:dyDescent="0.45">
      <c r="B32" s="12" t="s">
        <v>45</v>
      </c>
      <c r="C32" s="9" t="s">
        <v>46</v>
      </c>
      <c r="D32" s="13">
        <v>21542</v>
      </c>
      <c r="L32" s="12" t="s">
        <v>45</v>
      </c>
      <c r="M32" s="9" t="s">
        <v>46</v>
      </c>
      <c r="N32" s="13">
        <v>22054</v>
      </c>
      <c r="V32" s="12" t="s">
        <v>45</v>
      </c>
      <c r="W32" s="9" t="s">
        <v>46</v>
      </c>
      <c r="X32" s="13">
        <v>630848</v>
      </c>
      <c r="AF32" s="12" t="s">
        <v>45</v>
      </c>
      <c r="AG32" s="9" t="s">
        <v>46</v>
      </c>
      <c r="AH32" s="13">
        <v>0</v>
      </c>
    </row>
    <row r="33" spans="2:34" x14ac:dyDescent="0.45">
      <c r="B33" s="12" t="s">
        <v>45</v>
      </c>
      <c r="C33" s="9" t="s">
        <v>47</v>
      </c>
      <c r="D33" s="13">
        <v>15054</v>
      </c>
      <c r="L33" s="12" t="s">
        <v>45</v>
      </c>
      <c r="M33" s="9" t="s">
        <v>47</v>
      </c>
      <c r="N33" s="13">
        <v>16078</v>
      </c>
      <c r="V33" s="12" t="s">
        <v>45</v>
      </c>
      <c r="W33" s="9" t="s">
        <v>47</v>
      </c>
      <c r="X33" s="13">
        <v>262144</v>
      </c>
      <c r="AF33" s="12" t="s">
        <v>45</v>
      </c>
      <c r="AG33" s="9" t="s">
        <v>47</v>
      </c>
      <c r="AH33" s="13">
        <v>0</v>
      </c>
    </row>
    <row r="34" spans="2:34" x14ac:dyDescent="0.45">
      <c r="B34" s="12" t="s">
        <v>45</v>
      </c>
      <c r="C34" s="9" t="s">
        <v>48</v>
      </c>
      <c r="D34" s="13">
        <v>126812001</v>
      </c>
      <c r="L34" s="12" t="s">
        <v>45</v>
      </c>
      <c r="M34" s="9" t="s">
        <v>48</v>
      </c>
      <c r="N34" s="13">
        <v>126837601</v>
      </c>
      <c r="V34" s="12" t="s">
        <v>45</v>
      </c>
      <c r="W34" s="9" t="s">
        <v>48</v>
      </c>
      <c r="X34" s="13">
        <v>2426837260</v>
      </c>
      <c r="AF34" s="12" t="s">
        <v>45</v>
      </c>
      <c r="AG34" s="9" t="s">
        <v>48</v>
      </c>
      <c r="AH34" s="13">
        <v>45752460</v>
      </c>
    </row>
    <row r="35" spans="2:34" x14ac:dyDescent="0.45">
      <c r="B35" s="12" t="s">
        <v>49</v>
      </c>
      <c r="C35" s="9" t="s">
        <v>50</v>
      </c>
      <c r="D35" s="13">
        <v>19702413</v>
      </c>
      <c r="L35" s="12" t="s">
        <v>49</v>
      </c>
      <c r="M35" s="9" t="s">
        <v>50</v>
      </c>
      <c r="N35" s="13">
        <v>19702925</v>
      </c>
      <c r="V35" s="12" t="s">
        <v>49</v>
      </c>
      <c r="W35" s="9" t="s">
        <v>50</v>
      </c>
      <c r="X35" s="13">
        <v>42578948</v>
      </c>
      <c r="AF35" s="12" t="s">
        <v>49</v>
      </c>
      <c r="AG35" s="9" t="s">
        <v>50</v>
      </c>
      <c r="AH35" s="13">
        <v>19448906</v>
      </c>
    </row>
    <row r="36" spans="2:34" x14ac:dyDescent="0.45">
      <c r="B36" s="12" t="s">
        <v>49</v>
      </c>
      <c r="C36" s="9" t="s">
        <v>51</v>
      </c>
      <c r="D36" s="13">
        <v>196647643</v>
      </c>
      <c r="L36" s="12" t="s">
        <v>49</v>
      </c>
      <c r="M36" s="9" t="s">
        <v>51</v>
      </c>
      <c r="N36" s="13">
        <v>196651663</v>
      </c>
      <c r="V36" s="12" t="s">
        <v>49</v>
      </c>
      <c r="W36" s="9" t="s">
        <v>51</v>
      </c>
      <c r="X36" s="13">
        <v>419699708</v>
      </c>
      <c r="AF36" s="12" t="s">
        <v>49</v>
      </c>
      <c r="AG36" s="9" t="s">
        <v>51</v>
      </c>
      <c r="AH36" s="13">
        <v>28166412</v>
      </c>
    </row>
    <row r="37" spans="2:34" x14ac:dyDescent="0.45">
      <c r="B37" s="12" t="s">
        <v>49</v>
      </c>
      <c r="C37" s="9" t="s">
        <v>52</v>
      </c>
      <c r="D37" s="13">
        <v>609229793</v>
      </c>
      <c r="L37" s="12" t="s">
        <v>49</v>
      </c>
      <c r="M37" s="9" t="s">
        <v>52</v>
      </c>
      <c r="N37" s="13">
        <v>609239963</v>
      </c>
      <c r="V37" s="12" t="s">
        <v>49</v>
      </c>
      <c r="W37" s="9" t="s">
        <v>52</v>
      </c>
      <c r="X37" s="13">
        <v>1264613872</v>
      </c>
      <c r="AF37" s="12" t="s">
        <v>49</v>
      </c>
      <c r="AG37" s="9" t="s">
        <v>52</v>
      </c>
      <c r="AH37" s="13">
        <v>63608592</v>
      </c>
    </row>
    <row r="38" spans="2:34" x14ac:dyDescent="0.45">
      <c r="B38" s="12" t="s">
        <v>49</v>
      </c>
      <c r="C38" s="9" t="s">
        <v>74</v>
      </c>
      <c r="D38" s="13">
        <v>1019453</v>
      </c>
      <c r="L38" s="12" t="s">
        <v>49</v>
      </c>
      <c r="M38" s="9" t="s">
        <v>53</v>
      </c>
      <c r="N38" s="13">
        <v>1023037</v>
      </c>
      <c r="V38" s="12" t="s">
        <v>49</v>
      </c>
      <c r="W38" s="9" t="s">
        <v>53</v>
      </c>
      <c r="X38" s="13">
        <v>10154578</v>
      </c>
      <c r="AF38" s="12" t="s">
        <v>49</v>
      </c>
      <c r="AG38" s="9" t="s">
        <v>53</v>
      </c>
      <c r="AH38" s="13">
        <v>3381669</v>
      </c>
    </row>
    <row r="39" spans="2:34" x14ac:dyDescent="0.45">
      <c r="B39" s="12" t="s">
        <v>54</v>
      </c>
      <c r="C39" s="9" t="s">
        <v>55</v>
      </c>
      <c r="D39" s="13">
        <v>4213571</v>
      </c>
      <c r="L39" s="12" t="s">
        <v>54</v>
      </c>
      <c r="M39" s="9" t="s">
        <v>55</v>
      </c>
      <c r="N39" s="13">
        <v>4214595</v>
      </c>
      <c r="V39" s="12" t="s">
        <v>54</v>
      </c>
      <c r="W39" s="9" t="s">
        <v>55</v>
      </c>
      <c r="X39" s="13">
        <v>12516336</v>
      </c>
      <c r="AF39" s="12" t="s">
        <v>54</v>
      </c>
      <c r="AG39" s="9" t="s">
        <v>55</v>
      </c>
      <c r="AH39" s="13">
        <v>1024</v>
      </c>
    </row>
    <row r="40" spans="2:34" x14ac:dyDescent="0.45">
      <c r="B40" s="12" t="s">
        <v>54</v>
      </c>
      <c r="C40" s="9" t="s">
        <v>56</v>
      </c>
      <c r="D40" s="13">
        <v>4210899</v>
      </c>
      <c r="L40" s="12" t="s">
        <v>54</v>
      </c>
      <c r="M40" s="9" t="s">
        <v>56</v>
      </c>
      <c r="N40" s="13">
        <v>4211923</v>
      </c>
      <c r="V40" s="12" t="s">
        <v>54</v>
      </c>
      <c r="W40" s="9" t="s">
        <v>56</v>
      </c>
      <c r="X40" s="13">
        <v>12518848</v>
      </c>
      <c r="AF40" s="12" t="s">
        <v>54</v>
      </c>
      <c r="AG40" s="9" t="s">
        <v>56</v>
      </c>
      <c r="AH40" s="13">
        <v>1024</v>
      </c>
    </row>
    <row r="41" spans="2:34" ht="17.5" thickBot="1" x14ac:dyDescent="0.5">
      <c r="B41" s="14" t="s">
        <v>54</v>
      </c>
      <c r="C41" s="15" t="s">
        <v>57</v>
      </c>
      <c r="D41" s="16">
        <v>15091793</v>
      </c>
      <c r="L41" s="14" t="s">
        <v>54</v>
      </c>
      <c r="M41" s="15" t="s">
        <v>57</v>
      </c>
      <c r="N41" s="16">
        <v>15221713</v>
      </c>
      <c r="V41" s="14" t="s">
        <v>54</v>
      </c>
      <c r="W41" s="15" t="s">
        <v>57</v>
      </c>
      <c r="X41" s="16">
        <v>538918912</v>
      </c>
      <c r="AF41" s="14" t="s">
        <v>54</v>
      </c>
      <c r="AG41" s="15" t="s">
        <v>57</v>
      </c>
      <c r="AH41" s="16">
        <v>481669751</v>
      </c>
    </row>
    <row r="58" spans="2:44" ht="17.5" thickBot="1" x14ac:dyDescent="0.5">
      <c r="B58" s="10" t="s">
        <v>62</v>
      </c>
      <c r="L58" s="10" t="s">
        <v>63</v>
      </c>
      <c r="V58" s="10" t="s">
        <v>64</v>
      </c>
      <c r="AF58" s="10" t="s">
        <v>65</v>
      </c>
      <c r="AP58" s="10" t="s">
        <v>66</v>
      </c>
    </row>
    <row r="59" spans="2:44" x14ac:dyDescent="0.45">
      <c r="B59" s="17"/>
      <c r="C59" s="18"/>
      <c r="D59" s="19" t="s">
        <v>119</v>
      </c>
      <c r="L59" s="17"/>
      <c r="M59" s="18"/>
      <c r="N59" s="19" t="s">
        <v>119</v>
      </c>
      <c r="V59" s="17"/>
      <c r="W59" s="18"/>
      <c r="X59" s="19" t="s">
        <v>119</v>
      </c>
      <c r="AF59" s="17"/>
      <c r="AG59" s="18"/>
      <c r="AH59" s="19" t="s">
        <v>119</v>
      </c>
      <c r="AP59" s="17"/>
      <c r="AQ59" s="18"/>
      <c r="AR59" s="19" t="s">
        <v>119</v>
      </c>
    </row>
    <row r="60" spans="2:44" x14ac:dyDescent="0.45">
      <c r="B60" s="12" t="s">
        <v>38</v>
      </c>
      <c r="C60" s="9" t="s">
        <v>39</v>
      </c>
      <c r="D60" s="13">
        <f t="shared" ref="D60" si="0">D26*$P$7</f>
        <v>5993532929.7821283</v>
      </c>
      <c r="L60" s="12" t="s">
        <v>38</v>
      </c>
      <c r="M60" s="9" t="s">
        <v>39</v>
      </c>
      <c r="N60" s="13">
        <f t="shared" ref="N60" si="1">N26*$P$6</f>
        <v>2837166571.9454498</v>
      </c>
      <c r="V60" s="12" t="s">
        <v>38</v>
      </c>
      <c r="W60" s="9" t="s">
        <v>39</v>
      </c>
      <c r="X60" s="13">
        <f t="shared" ref="X60:X75" si="2">X26*$P$4</f>
        <v>60118932883.427086</v>
      </c>
      <c r="AF60" s="12" t="s">
        <v>38</v>
      </c>
      <c r="AG60" s="9" t="s">
        <v>39</v>
      </c>
      <c r="AH60" s="13">
        <f t="shared" ref="AH60:AH75" si="3">AH26*$P$5</f>
        <v>19407720112.026501</v>
      </c>
      <c r="AP60" s="12" t="s">
        <v>38</v>
      </c>
      <c r="AQ60" s="70" t="s">
        <v>39</v>
      </c>
      <c r="AR60" s="13">
        <f t="shared" ref="AR60:AR75" si="4">D60+N60+X60+AH60</f>
        <v>88357352497.181168</v>
      </c>
    </row>
    <row r="61" spans="2:44" x14ac:dyDescent="0.45">
      <c r="B61" s="12" t="s">
        <v>38</v>
      </c>
      <c r="C61" s="9" t="s">
        <v>40</v>
      </c>
      <c r="D61" s="13">
        <f t="shared" ref="D61:D75" si="5">D27*$P$7</f>
        <v>9540179.1985500045</v>
      </c>
      <c r="L61" s="12" t="s">
        <v>38</v>
      </c>
      <c r="M61" s="9" t="s">
        <v>40</v>
      </c>
      <c r="N61" s="13">
        <f t="shared" ref="N61:N75" si="6">N27*$P$6</f>
        <v>4548028.8699398516</v>
      </c>
      <c r="V61" s="12" t="s">
        <v>38</v>
      </c>
      <c r="W61" s="9" t="s">
        <v>40</v>
      </c>
      <c r="X61" s="13">
        <f t="shared" si="2"/>
        <v>374650856.02546877</v>
      </c>
      <c r="AF61" s="12" t="s">
        <v>38</v>
      </c>
      <c r="AG61" s="9" t="s">
        <v>40</v>
      </c>
      <c r="AH61" s="13">
        <f t="shared" si="3"/>
        <v>3550303.3387499996</v>
      </c>
      <c r="AP61" s="12" t="s">
        <v>38</v>
      </c>
      <c r="AQ61" s="70" t="s">
        <v>40</v>
      </c>
      <c r="AR61" s="13">
        <f t="shared" si="4"/>
        <v>392289367.43270862</v>
      </c>
    </row>
    <row r="62" spans="2:44" x14ac:dyDescent="0.45">
      <c r="B62" s="12" t="s">
        <v>38</v>
      </c>
      <c r="C62" s="9" t="s">
        <v>41</v>
      </c>
      <c r="D62" s="13">
        <f t="shared" si="5"/>
        <v>882527.12730000052</v>
      </c>
      <c r="L62" s="12" t="s">
        <v>38</v>
      </c>
      <c r="M62" s="9" t="s">
        <v>41</v>
      </c>
      <c r="N62" s="13">
        <f t="shared" si="6"/>
        <v>436539.20273906324</v>
      </c>
      <c r="V62" s="12" t="s">
        <v>38</v>
      </c>
      <c r="W62" s="9" t="s">
        <v>41</v>
      </c>
      <c r="X62" s="13">
        <f t="shared" si="2"/>
        <v>145134871.00185937</v>
      </c>
      <c r="AF62" s="12" t="s">
        <v>38</v>
      </c>
      <c r="AG62" s="9" t="s">
        <v>41</v>
      </c>
      <c r="AH62" s="13">
        <f t="shared" si="3"/>
        <v>36024941.275312498</v>
      </c>
      <c r="AP62" s="12" t="s">
        <v>38</v>
      </c>
      <c r="AQ62" s="70" t="s">
        <v>41</v>
      </c>
      <c r="AR62" s="13">
        <f t="shared" si="4"/>
        <v>182478878.60721093</v>
      </c>
    </row>
    <row r="63" spans="2:44" x14ac:dyDescent="0.45">
      <c r="B63" s="12" t="s">
        <v>38</v>
      </c>
      <c r="C63" s="9" t="s">
        <v>42</v>
      </c>
      <c r="D63" s="13">
        <f t="shared" si="5"/>
        <v>69339091.328325033</v>
      </c>
      <c r="L63" s="12" t="s">
        <v>38</v>
      </c>
      <c r="M63" s="9" t="s">
        <v>42</v>
      </c>
      <c r="N63" s="13">
        <f t="shared" si="6"/>
        <v>32966935.667080134</v>
      </c>
      <c r="V63" s="12" t="s">
        <v>38</v>
      </c>
      <c r="W63" s="9" t="s">
        <v>42</v>
      </c>
      <c r="X63" s="13">
        <f t="shared" si="2"/>
        <v>1908740597.8390312</v>
      </c>
      <c r="AF63" s="12" t="s">
        <v>38</v>
      </c>
      <c r="AG63" s="9" t="s">
        <v>42</v>
      </c>
      <c r="AH63" s="13">
        <f t="shared" si="3"/>
        <v>2208043928.497148</v>
      </c>
      <c r="AP63" s="12" t="s">
        <v>38</v>
      </c>
      <c r="AQ63" s="70" t="s">
        <v>42</v>
      </c>
      <c r="AR63" s="13">
        <f t="shared" si="4"/>
        <v>4219090553.3315845</v>
      </c>
    </row>
    <row r="64" spans="2:44" x14ac:dyDescent="0.45">
      <c r="B64" s="12" t="s">
        <v>38</v>
      </c>
      <c r="C64" s="9" t="s">
        <v>43</v>
      </c>
      <c r="D64" s="13">
        <f t="shared" si="5"/>
        <v>1216935134.0464506</v>
      </c>
      <c r="L64" s="12" t="s">
        <v>38</v>
      </c>
      <c r="M64" s="9" t="s">
        <v>43</v>
      </c>
      <c r="N64" s="13">
        <f t="shared" si="6"/>
        <v>575656089.02466428</v>
      </c>
      <c r="V64" s="12" t="s">
        <v>38</v>
      </c>
      <c r="W64" s="9" t="s">
        <v>43</v>
      </c>
      <c r="X64" s="13">
        <f t="shared" si="2"/>
        <v>18581072151.200344</v>
      </c>
      <c r="AF64" s="12" t="s">
        <v>38</v>
      </c>
      <c r="AG64" s="9" t="s">
        <v>43</v>
      </c>
      <c r="AH64" s="13">
        <f t="shared" si="3"/>
        <v>6497539619.9421091</v>
      </c>
      <c r="AP64" s="12" t="s">
        <v>38</v>
      </c>
      <c r="AQ64" s="70" t="s">
        <v>43</v>
      </c>
      <c r="AR64" s="13">
        <f t="shared" si="4"/>
        <v>26871202994.213566</v>
      </c>
    </row>
    <row r="65" spans="2:44" x14ac:dyDescent="0.45">
      <c r="B65" s="12" t="s">
        <v>38</v>
      </c>
      <c r="C65" s="9" t="s">
        <v>44</v>
      </c>
      <c r="D65" s="13">
        <f t="shared" si="5"/>
        <v>22946654964.808586</v>
      </c>
      <c r="L65" s="12" t="s">
        <v>38</v>
      </c>
      <c r="M65" s="9" t="s">
        <v>44</v>
      </c>
      <c r="N65" s="13">
        <f t="shared" si="6"/>
        <v>10855422666.850889</v>
      </c>
      <c r="V65" s="12" t="s">
        <v>38</v>
      </c>
      <c r="W65" s="9" t="s">
        <v>44</v>
      </c>
      <c r="X65" s="13">
        <f t="shared" si="2"/>
        <v>5866065476.3970003</v>
      </c>
      <c r="AF65" s="12" t="s">
        <v>38</v>
      </c>
      <c r="AG65" s="9" t="s">
        <v>44</v>
      </c>
      <c r="AH65" s="13">
        <f t="shared" si="3"/>
        <v>1756802873357.7805</v>
      </c>
      <c r="AP65" s="12" t="s">
        <v>38</v>
      </c>
      <c r="AQ65" s="70" t="s">
        <v>44</v>
      </c>
      <c r="AR65" s="13">
        <f t="shared" si="4"/>
        <v>1796471016465.8369</v>
      </c>
    </row>
    <row r="66" spans="2:44" x14ac:dyDescent="0.45">
      <c r="B66" s="12" t="s">
        <v>45</v>
      </c>
      <c r="C66" s="9" t="s">
        <v>46</v>
      </c>
      <c r="D66" s="13">
        <f t="shared" si="5"/>
        <v>1727680.7866500008</v>
      </c>
      <c r="L66" s="12" t="s">
        <v>45</v>
      </c>
      <c r="M66" s="9" t="s">
        <v>46</v>
      </c>
      <c r="N66" s="13">
        <f t="shared" si="6"/>
        <v>836005.17342890764</v>
      </c>
      <c r="V66" s="12" t="s">
        <v>45</v>
      </c>
      <c r="W66" s="9" t="s">
        <v>46</v>
      </c>
      <c r="X66" s="13">
        <f t="shared" si="2"/>
        <v>195658584.07725</v>
      </c>
      <c r="AF66" s="12" t="s">
        <v>45</v>
      </c>
      <c r="AG66" s="9" t="s">
        <v>46</v>
      </c>
      <c r="AH66" s="13">
        <f t="shared" si="3"/>
        <v>0</v>
      </c>
      <c r="AP66" s="12" t="s">
        <v>45</v>
      </c>
      <c r="AQ66" s="70" t="s">
        <v>46</v>
      </c>
      <c r="AR66" s="13">
        <f t="shared" si="4"/>
        <v>198222270.0373289</v>
      </c>
    </row>
    <row r="67" spans="2:44" x14ac:dyDescent="0.45">
      <c r="B67" s="12" t="s">
        <v>45</v>
      </c>
      <c r="C67" s="9" t="s">
        <v>47</v>
      </c>
      <c r="D67" s="13">
        <f t="shared" si="5"/>
        <v>1207339.4560500006</v>
      </c>
      <c r="L67" s="12" t="s">
        <v>45</v>
      </c>
      <c r="M67" s="9" t="s">
        <v>47</v>
      </c>
      <c r="N67" s="13">
        <f t="shared" si="6"/>
        <v>609471.80458828225</v>
      </c>
      <c r="V67" s="12" t="s">
        <v>45</v>
      </c>
      <c r="W67" s="9" t="s">
        <v>47</v>
      </c>
      <c r="X67" s="13">
        <f t="shared" si="2"/>
        <v>81304409.088</v>
      </c>
      <c r="AF67" s="12" t="s">
        <v>45</v>
      </c>
      <c r="AG67" s="9" t="s">
        <v>47</v>
      </c>
      <c r="AH67" s="13">
        <f t="shared" si="3"/>
        <v>0</v>
      </c>
      <c r="AP67" s="12" t="s">
        <v>45</v>
      </c>
      <c r="AQ67" s="70" t="s">
        <v>47</v>
      </c>
      <c r="AR67" s="13">
        <f t="shared" si="4"/>
        <v>83121220.348638281</v>
      </c>
    </row>
    <row r="68" spans="2:44" x14ac:dyDescent="0.45">
      <c r="B68" s="12" t="s">
        <v>45</v>
      </c>
      <c r="C68" s="9" t="s">
        <v>48</v>
      </c>
      <c r="D68" s="13">
        <f t="shared" si="5"/>
        <v>10170395397.10058</v>
      </c>
      <c r="L68" s="12" t="s">
        <v>45</v>
      </c>
      <c r="M68" s="9" t="s">
        <v>48</v>
      </c>
      <c r="N68" s="13">
        <f t="shared" si="6"/>
        <v>4808057069.9787607</v>
      </c>
      <c r="V68" s="12" t="s">
        <v>45</v>
      </c>
      <c r="W68" s="9" t="s">
        <v>48</v>
      </c>
      <c r="X68" s="13">
        <f t="shared" si="2"/>
        <v>752687718876.0415</v>
      </c>
      <c r="AF68" s="12" t="s">
        <v>45</v>
      </c>
      <c r="AG68" s="9" t="s">
        <v>48</v>
      </c>
      <c r="AH68" s="13">
        <f t="shared" si="3"/>
        <v>9505800064.0230465</v>
      </c>
      <c r="AP68" s="12" t="s">
        <v>45</v>
      </c>
      <c r="AQ68" s="70" t="s">
        <v>48</v>
      </c>
      <c r="AR68" s="13">
        <f t="shared" si="4"/>
        <v>777171971407.14392</v>
      </c>
    </row>
    <row r="69" spans="2:44" x14ac:dyDescent="0.45">
      <c r="B69" s="12" t="s">
        <v>49</v>
      </c>
      <c r="C69" s="9" t="s">
        <v>50</v>
      </c>
      <c r="D69" s="13">
        <f t="shared" si="5"/>
        <v>1580144851.4874759</v>
      </c>
      <c r="L69" s="12" t="s">
        <v>49</v>
      </c>
      <c r="M69" s="9" t="s">
        <v>50</v>
      </c>
      <c r="N69" s="13">
        <f t="shared" si="6"/>
        <v>746882526.1486243</v>
      </c>
      <c r="V69" s="12" t="s">
        <v>49</v>
      </c>
      <c r="W69" s="9" t="s">
        <v>50</v>
      </c>
      <c r="X69" s="13">
        <f t="shared" si="2"/>
        <v>13205933405.794828</v>
      </c>
      <c r="AF69" s="12" t="s">
        <v>49</v>
      </c>
      <c r="AG69" s="9" t="s">
        <v>50</v>
      </c>
      <c r="AH69" s="13">
        <f t="shared" si="3"/>
        <v>4040819048.8550386</v>
      </c>
      <c r="AP69" s="12" t="s">
        <v>49</v>
      </c>
      <c r="AQ69" s="70" t="s">
        <v>50</v>
      </c>
      <c r="AR69" s="13">
        <f t="shared" si="4"/>
        <v>19573779832.285969</v>
      </c>
    </row>
    <row r="70" spans="2:44" x14ac:dyDescent="0.45">
      <c r="B70" s="12" t="s">
        <v>49</v>
      </c>
      <c r="C70" s="9" t="s">
        <v>51</v>
      </c>
      <c r="D70" s="13">
        <f t="shared" si="5"/>
        <v>15771254040.994734</v>
      </c>
      <c r="L70" s="12" t="s">
        <v>49</v>
      </c>
      <c r="M70" s="9" t="s">
        <v>51</v>
      </c>
      <c r="N70" s="13">
        <f t="shared" si="6"/>
        <v>7454511999.2472162</v>
      </c>
      <c r="V70" s="12" t="s">
        <v>49</v>
      </c>
      <c r="W70" s="9" t="s">
        <v>51</v>
      </c>
      <c r="X70" s="13">
        <f t="shared" si="2"/>
        <v>130170580876.71718</v>
      </c>
      <c r="AF70" s="12" t="s">
        <v>49</v>
      </c>
      <c r="AG70" s="9" t="s">
        <v>51</v>
      </c>
      <c r="AH70" s="13">
        <f t="shared" si="3"/>
        <v>5852019344.815546</v>
      </c>
      <c r="AP70" s="12" t="s">
        <v>49</v>
      </c>
      <c r="AQ70" s="70" t="s">
        <v>51</v>
      </c>
      <c r="AR70" s="13">
        <f t="shared" si="4"/>
        <v>159248366261.77469</v>
      </c>
    </row>
    <row r="71" spans="2:44" x14ac:dyDescent="0.45">
      <c r="B71" s="12" t="s">
        <v>49</v>
      </c>
      <c r="C71" s="9" t="s">
        <v>52</v>
      </c>
      <c r="D71" s="13">
        <f t="shared" si="5"/>
        <v>48860579705.731003</v>
      </c>
      <c r="L71" s="12" t="s">
        <v>49</v>
      </c>
      <c r="M71" s="9" t="s">
        <v>52</v>
      </c>
      <c r="N71" s="13">
        <f t="shared" si="6"/>
        <v>23094575175.824627</v>
      </c>
      <c r="V71" s="12" t="s">
        <v>49</v>
      </c>
      <c r="W71" s="9" t="s">
        <v>52</v>
      </c>
      <c r="X71" s="13">
        <f t="shared" si="2"/>
        <v>392222151136.19867</v>
      </c>
      <c r="AF71" s="12" t="s">
        <v>49</v>
      </c>
      <c r="AG71" s="9" t="s">
        <v>52</v>
      </c>
      <c r="AH71" s="13">
        <f t="shared" si="3"/>
        <v>13215695022.869061</v>
      </c>
      <c r="AP71" s="12" t="s">
        <v>49</v>
      </c>
      <c r="AQ71" s="70" t="s">
        <v>52</v>
      </c>
      <c r="AR71" s="13">
        <f t="shared" si="4"/>
        <v>477393001040.62335</v>
      </c>
    </row>
    <row r="72" spans="2:44" x14ac:dyDescent="0.45">
      <c r="B72" s="12" t="s">
        <v>49</v>
      </c>
      <c r="C72" s="9" t="s">
        <v>53</v>
      </c>
      <c r="D72" s="13">
        <f t="shared" si="5"/>
        <v>81760716.785475045</v>
      </c>
      <c r="L72" s="12" t="s">
        <v>49</v>
      </c>
      <c r="M72" s="9" t="s">
        <v>53</v>
      </c>
      <c r="N72" s="13">
        <f t="shared" si="6"/>
        <v>38780458.175804362</v>
      </c>
      <c r="V72" s="12" t="s">
        <v>49</v>
      </c>
      <c r="W72" s="9" t="s">
        <v>53</v>
      </c>
      <c r="X72" s="13">
        <f t="shared" si="2"/>
        <v>3149459700.8819766</v>
      </c>
      <c r="AF72" s="12" t="s">
        <v>49</v>
      </c>
      <c r="AG72" s="9" t="s">
        <v>53</v>
      </c>
      <c r="AH72" s="13">
        <f t="shared" si="3"/>
        <v>702595431.95501947</v>
      </c>
      <c r="AP72" s="12" t="s">
        <v>49</v>
      </c>
      <c r="AQ72" s="70" t="s">
        <v>74</v>
      </c>
      <c r="AR72" s="13">
        <f t="shared" si="4"/>
        <v>3972596307.7982755</v>
      </c>
    </row>
    <row r="73" spans="2:44" x14ac:dyDescent="0.45">
      <c r="B73" s="12" t="s">
        <v>54</v>
      </c>
      <c r="C73" s="9" t="s">
        <v>55</v>
      </c>
      <c r="D73" s="13">
        <f t="shared" si="5"/>
        <v>337930817.00332516</v>
      </c>
      <c r="L73" s="12" t="s">
        <v>54</v>
      </c>
      <c r="M73" s="9" t="s">
        <v>55</v>
      </c>
      <c r="N73" s="13">
        <f t="shared" si="6"/>
        <v>159763454.42584598</v>
      </c>
      <c r="V73" s="12" t="s">
        <v>54</v>
      </c>
      <c r="W73" s="9" t="s">
        <v>55</v>
      </c>
      <c r="X73" s="13">
        <f t="shared" si="2"/>
        <v>3881962976.1766872</v>
      </c>
      <c r="AF73" s="12" t="s">
        <v>54</v>
      </c>
      <c r="AG73" s="9" t="s">
        <v>55</v>
      </c>
      <c r="AH73" s="13">
        <f t="shared" si="3"/>
        <v>212752.25999999998</v>
      </c>
      <c r="AP73" s="12" t="s">
        <v>54</v>
      </c>
      <c r="AQ73" s="70" t="s">
        <v>55</v>
      </c>
      <c r="AR73" s="13">
        <f t="shared" si="4"/>
        <v>4379869999.865859</v>
      </c>
    </row>
    <row r="74" spans="2:44" x14ac:dyDescent="0.45">
      <c r="B74" s="12" t="s">
        <v>54</v>
      </c>
      <c r="C74" s="9" t="s">
        <v>56</v>
      </c>
      <c r="D74" s="13">
        <f t="shared" si="5"/>
        <v>337716521.06692517</v>
      </c>
      <c r="L74" s="12" t="s">
        <v>54</v>
      </c>
      <c r="M74" s="9" t="s">
        <v>56</v>
      </c>
      <c r="N74" s="13">
        <f t="shared" si="6"/>
        <v>159662166.41353974</v>
      </c>
      <c r="V74" s="12" t="s">
        <v>54</v>
      </c>
      <c r="W74" s="9" t="s">
        <v>56</v>
      </c>
      <c r="X74" s="13">
        <f t="shared" si="2"/>
        <v>3882742077.26475</v>
      </c>
      <c r="AF74" s="12" t="s">
        <v>54</v>
      </c>
      <c r="AG74" s="9" t="s">
        <v>56</v>
      </c>
      <c r="AH74" s="13">
        <f t="shared" si="3"/>
        <v>212752.25999999998</v>
      </c>
      <c r="AP74" s="12" t="s">
        <v>54</v>
      </c>
      <c r="AQ74" s="70" t="s">
        <v>56</v>
      </c>
      <c r="AR74" s="13">
        <f t="shared" si="4"/>
        <v>4380333517.0052147</v>
      </c>
    </row>
    <row r="75" spans="2:44" ht="17.5" thickBot="1" x14ac:dyDescent="0.5">
      <c r="B75" s="14" t="s">
        <v>54</v>
      </c>
      <c r="C75" s="15" t="s">
        <v>57</v>
      </c>
      <c r="D75" s="16">
        <f t="shared" si="5"/>
        <v>1210370476.3809757</v>
      </c>
      <c r="L75" s="14" t="s">
        <v>54</v>
      </c>
      <c r="M75" s="15" t="s">
        <v>57</v>
      </c>
      <c r="N75" s="16">
        <f t="shared" si="6"/>
        <v>577012370.38406003</v>
      </c>
      <c r="V75" s="14" t="s">
        <v>54</v>
      </c>
      <c r="W75" s="15" t="s">
        <v>57</v>
      </c>
      <c r="X75" s="16">
        <f t="shared" si="2"/>
        <v>167146620508.224</v>
      </c>
      <c r="AF75" s="14" t="s">
        <v>54</v>
      </c>
      <c r="AG75" s="15" t="s">
        <v>57</v>
      </c>
      <c r="AH75" s="16">
        <f t="shared" si="3"/>
        <v>100074539159.06958</v>
      </c>
      <c r="AP75" s="14" t="s">
        <v>54</v>
      </c>
      <c r="AQ75" s="71" t="s">
        <v>57</v>
      </c>
      <c r="AR75" s="16">
        <f t="shared" si="4"/>
        <v>269008542514.05862</v>
      </c>
    </row>
    <row r="79" spans="2:44" x14ac:dyDescent="0.45">
      <c r="C79" s="9"/>
      <c r="D79" s="9"/>
      <c r="L79" s="9"/>
      <c r="M79" s="9"/>
      <c r="N79" s="9"/>
      <c r="V79" s="9"/>
      <c r="W79" s="9"/>
      <c r="X79" s="9"/>
      <c r="AF79" s="9"/>
      <c r="AG79" s="9"/>
      <c r="AH79" s="9"/>
      <c r="AP79" s="9"/>
      <c r="AQ79" s="9"/>
      <c r="AR79" s="9"/>
    </row>
    <row r="80" spans="2:44" x14ac:dyDescent="0.45">
      <c r="C80" s="9"/>
      <c r="D80" s="9"/>
      <c r="L80" s="9"/>
      <c r="M80" s="9"/>
      <c r="N80" s="9"/>
      <c r="V80" s="9"/>
      <c r="W80" s="9"/>
      <c r="X80" s="9"/>
      <c r="AF80" s="9"/>
      <c r="AG80" s="9"/>
      <c r="AH80" s="9"/>
      <c r="AP80" s="9"/>
      <c r="AQ80" s="9"/>
      <c r="AR80" s="9"/>
    </row>
    <row r="85" spans="2:44" x14ac:dyDescent="0.45">
      <c r="C85" s="9"/>
      <c r="D85" s="9"/>
      <c r="L85" s="9"/>
      <c r="M85" s="9"/>
      <c r="N85" s="9"/>
      <c r="V85" s="9"/>
      <c r="W85" s="9"/>
      <c r="X85" s="9"/>
      <c r="AF85" s="9"/>
      <c r="AG85" s="9"/>
      <c r="AH85" s="9"/>
      <c r="AP85" s="9"/>
      <c r="AQ85" s="9"/>
      <c r="AR85" s="9"/>
    </row>
    <row r="92" spans="2:44" ht="17.5" thickBot="1" x14ac:dyDescent="0.5">
      <c r="B92" s="10" t="s">
        <v>120</v>
      </c>
      <c r="L92" s="10" t="s">
        <v>125</v>
      </c>
      <c r="V92" s="10"/>
      <c r="AF92" s="10"/>
      <c r="AP92" s="10"/>
    </row>
    <row r="93" spans="2:44" x14ac:dyDescent="0.45">
      <c r="B93" s="25"/>
      <c r="C93" s="11"/>
      <c r="D93" s="19" t="s">
        <v>119</v>
      </c>
      <c r="E93" s="9"/>
      <c r="F93" s="9"/>
      <c r="G93" s="9"/>
      <c r="H93" s="9"/>
      <c r="I93" s="9"/>
      <c r="J93" s="9"/>
      <c r="K93" s="9"/>
      <c r="L93" s="17"/>
      <c r="M93" s="18"/>
      <c r="N93" s="19" t="s">
        <v>119</v>
      </c>
    </row>
    <row r="94" spans="2:44" x14ac:dyDescent="0.45">
      <c r="B94" s="65" t="s">
        <v>38</v>
      </c>
      <c r="C94" s="66" t="s">
        <v>39</v>
      </c>
      <c r="D94" s="13">
        <v>87999153774.591873</v>
      </c>
      <c r="E94" s="9"/>
      <c r="F94" s="9"/>
      <c r="G94" s="9"/>
      <c r="H94" s="9"/>
      <c r="I94" s="9"/>
      <c r="J94" s="9"/>
      <c r="K94" s="9"/>
      <c r="L94" s="65" t="s">
        <v>38</v>
      </c>
      <c r="M94" s="66" t="s">
        <v>39</v>
      </c>
      <c r="N94" s="13">
        <v>0.98263421997749845</v>
      </c>
    </row>
    <row r="95" spans="2:44" x14ac:dyDescent="0.45">
      <c r="B95" s="65" t="s">
        <v>38</v>
      </c>
      <c r="C95" s="66" t="s">
        <v>40</v>
      </c>
      <c r="D95" s="13">
        <v>392305404.1210953</v>
      </c>
      <c r="E95" s="9"/>
      <c r="F95" s="9"/>
      <c r="G95" s="9"/>
      <c r="H95" s="9"/>
      <c r="I95" s="9"/>
      <c r="J95" s="9"/>
      <c r="K95" s="9"/>
      <c r="L95" s="65" t="s">
        <v>38</v>
      </c>
      <c r="M95" s="66" t="s">
        <v>40</v>
      </c>
      <c r="N95" s="13">
        <v>0.99006892464753204</v>
      </c>
    </row>
    <row r="96" spans="2:44" x14ac:dyDescent="0.45">
      <c r="B96" s="65" t="s">
        <v>38</v>
      </c>
      <c r="C96" s="66" t="s">
        <v>41</v>
      </c>
      <c r="D96" s="13">
        <v>182275103.79635289</v>
      </c>
      <c r="E96" s="9"/>
      <c r="F96" s="9"/>
      <c r="G96" s="9"/>
      <c r="H96" s="9"/>
      <c r="I96" s="9"/>
      <c r="L96" s="65" t="s">
        <v>38</v>
      </c>
      <c r="M96" s="66" t="s">
        <v>41</v>
      </c>
      <c r="N96" s="13">
        <v>0.99042626650057164</v>
      </c>
    </row>
    <row r="97" spans="2:14" x14ac:dyDescent="0.45">
      <c r="B97" s="65" t="s">
        <v>38</v>
      </c>
      <c r="C97" s="66" t="s">
        <v>42</v>
      </c>
      <c r="D97" s="13">
        <v>4191214605.7331758</v>
      </c>
      <c r="E97" s="9"/>
      <c r="F97" s="9"/>
      <c r="G97" s="9"/>
      <c r="H97" s="9"/>
      <c r="I97" s="9"/>
      <c r="L97" s="65" t="s">
        <v>38</v>
      </c>
      <c r="M97" s="66" t="s">
        <v>42</v>
      </c>
      <c r="N97" s="13">
        <v>0.98409808851057423</v>
      </c>
    </row>
    <row r="98" spans="2:14" x14ac:dyDescent="0.45">
      <c r="B98" s="65" t="s">
        <v>38</v>
      </c>
      <c r="C98" s="66" t="s">
        <v>43</v>
      </c>
      <c r="D98" s="13">
        <v>26744121808.734497</v>
      </c>
      <c r="E98" s="9"/>
      <c r="F98" s="9"/>
      <c r="G98" s="9"/>
      <c r="H98" s="9"/>
      <c r="I98" s="9"/>
      <c r="L98" s="65" t="s">
        <v>38</v>
      </c>
      <c r="M98" s="66" t="s">
        <v>43</v>
      </c>
      <c r="N98" s="13">
        <v>0.98188356188518011</v>
      </c>
    </row>
    <row r="99" spans="2:14" x14ac:dyDescent="0.45">
      <c r="B99" s="65" t="s">
        <v>38</v>
      </c>
      <c r="C99" s="66" t="s">
        <v>44</v>
      </c>
      <c r="D99" s="13">
        <v>1796970292925.5911</v>
      </c>
      <c r="E99" s="9"/>
      <c r="F99" s="9"/>
      <c r="G99" s="9"/>
      <c r="H99" s="9"/>
      <c r="I99" s="9"/>
      <c r="L99" s="65" t="s">
        <v>38</v>
      </c>
      <c r="M99" s="66" t="s">
        <v>44</v>
      </c>
      <c r="N99" s="13">
        <v>0.99075955197053145</v>
      </c>
    </row>
    <row r="100" spans="2:14" x14ac:dyDescent="0.45">
      <c r="B100" s="65"/>
      <c r="C100" s="66"/>
      <c r="D100" s="13" t="s">
        <v>122</v>
      </c>
      <c r="E100" s="9"/>
      <c r="F100" s="9"/>
      <c r="G100" s="9"/>
      <c r="H100" s="9"/>
      <c r="I100" s="9"/>
      <c r="L100" s="65"/>
      <c r="M100" s="66"/>
      <c r="N100" s="13"/>
    </row>
    <row r="101" spans="2:14" x14ac:dyDescent="0.45">
      <c r="B101" s="65" t="s">
        <v>45</v>
      </c>
      <c r="C101" s="66" t="s">
        <v>46</v>
      </c>
      <c r="D101" s="13">
        <v>197352210.82607549</v>
      </c>
      <c r="E101" s="9"/>
      <c r="F101" s="9"/>
      <c r="G101" s="9"/>
      <c r="H101" s="9"/>
      <c r="I101" s="9"/>
      <c r="L101" s="65" t="s">
        <v>45</v>
      </c>
      <c r="M101" s="66" t="s">
        <v>46</v>
      </c>
      <c r="N101" s="13">
        <v>0.9855764185416962</v>
      </c>
    </row>
    <row r="102" spans="2:14" x14ac:dyDescent="0.45">
      <c r="B102" s="65" t="s">
        <v>45</v>
      </c>
      <c r="C102" s="66" t="s">
        <v>47</v>
      </c>
      <c r="D102" s="13">
        <v>83070223.02208218</v>
      </c>
      <c r="E102" s="9"/>
      <c r="F102" s="9"/>
      <c r="G102" s="9"/>
      <c r="H102" s="9"/>
      <c r="I102" s="9"/>
      <c r="L102" s="65" t="s">
        <v>45</v>
      </c>
      <c r="M102" s="66" t="s">
        <v>47</v>
      </c>
      <c r="N102" s="13">
        <v>0.98924645513020426</v>
      </c>
    </row>
    <row r="103" spans="2:14" x14ac:dyDescent="0.45">
      <c r="B103" s="65" t="s">
        <v>45</v>
      </c>
      <c r="C103" s="66" t="s">
        <v>48</v>
      </c>
      <c r="D103" s="13">
        <v>775543186345.19153</v>
      </c>
      <c r="E103" s="9"/>
      <c r="F103" s="9"/>
      <c r="G103" s="9"/>
      <c r="H103" s="9"/>
      <c r="I103" s="9"/>
      <c r="L103" s="65" t="s">
        <v>45</v>
      </c>
      <c r="M103" s="66" t="s">
        <v>48</v>
      </c>
      <c r="N103" s="13">
        <v>0.98787621799068703</v>
      </c>
    </row>
    <row r="104" spans="2:14" x14ac:dyDescent="0.45">
      <c r="B104" s="65"/>
      <c r="C104" s="66"/>
      <c r="D104" s="13" t="s">
        <v>122</v>
      </c>
      <c r="E104" s="9"/>
      <c r="F104" s="9"/>
      <c r="G104" s="9"/>
      <c r="H104" s="9"/>
      <c r="I104" s="9"/>
      <c r="L104" s="65"/>
      <c r="M104" s="66"/>
      <c r="N104" s="13"/>
    </row>
    <row r="105" spans="2:14" x14ac:dyDescent="0.45">
      <c r="B105" s="65" t="s">
        <v>49</v>
      </c>
      <c r="C105" s="66" t="s">
        <v>121</v>
      </c>
      <c r="D105" s="13">
        <v>19166899669.503654</v>
      </c>
      <c r="E105" s="9"/>
      <c r="F105" s="9"/>
      <c r="G105" s="9"/>
      <c r="H105" s="9"/>
      <c r="I105" s="9"/>
      <c r="L105" s="65" t="s">
        <v>49</v>
      </c>
      <c r="M105" s="66" t="s">
        <v>121</v>
      </c>
      <c r="N105" s="13">
        <v>0.96587472166234833</v>
      </c>
    </row>
    <row r="106" spans="2:14" x14ac:dyDescent="0.45">
      <c r="B106" s="65" t="s">
        <v>49</v>
      </c>
      <c r="C106" s="66" t="s">
        <v>51</v>
      </c>
      <c r="D106" s="13">
        <v>157443608255.21246</v>
      </c>
      <c r="E106" s="9"/>
      <c r="F106" s="9"/>
      <c r="G106" s="9"/>
      <c r="H106" s="9"/>
      <c r="I106" s="9"/>
      <c r="L106" s="65" t="s">
        <v>49</v>
      </c>
      <c r="M106" s="66" t="s">
        <v>51</v>
      </c>
      <c r="N106" s="13">
        <v>0.97564041130951096</v>
      </c>
    </row>
    <row r="107" spans="2:14" x14ac:dyDescent="0.45">
      <c r="B107" s="65" t="s">
        <v>49</v>
      </c>
      <c r="C107" s="66" t="s">
        <v>52</v>
      </c>
      <c r="D107" s="13">
        <v>473238152783.97559</v>
      </c>
      <c r="E107" s="9"/>
      <c r="F107" s="9"/>
      <c r="G107" s="9"/>
      <c r="H107" s="9"/>
      <c r="I107" s="9"/>
      <c r="L107" s="65" t="s">
        <v>49</v>
      </c>
      <c r="M107" s="66" t="s">
        <v>52</v>
      </c>
      <c r="N107" s="13">
        <v>0.97550883605049454</v>
      </c>
    </row>
    <row r="108" spans="2:14" x14ac:dyDescent="0.45">
      <c r="B108" s="65" t="s">
        <v>49</v>
      </c>
      <c r="C108" s="66" t="s">
        <v>53</v>
      </c>
      <c r="D108" s="13">
        <v>3961661583.0481634</v>
      </c>
      <c r="E108" s="9"/>
      <c r="F108" s="9"/>
      <c r="G108" s="9"/>
      <c r="H108" s="9"/>
      <c r="I108" s="9"/>
      <c r="L108" s="65" t="s">
        <v>49</v>
      </c>
      <c r="M108" s="66" t="s">
        <v>53</v>
      </c>
      <c r="N108" s="13">
        <v>0.98644389541913657</v>
      </c>
    </row>
    <row r="109" spans="2:14" x14ac:dyDescent="0.45">
      <c r="B109" s="65"/>
      <c r="C109" s="66"/>
      <c r="D109" s="13" t="s">
        <v>122</v>
      </c>
      <c r="E109" s="9"/>
      <c r="F109" s="9"/>
      <c r="G109" s="9"/>
      <c r="H109" s="9"/>
      <c r="I109" s="9"/>
      <c r="L109" s="65"/>
      <c r="M109" s="66"/>
      <c r="N109" s="13"/>
    </row>
    <row r="110" spans="2:14" x14ac:dyDescent="0.45">
      <c r="B110" s="65" t="s">
        <v>54</v>
      </c>
      <c r="C110" s="66" t="s">
        <v>55</v>
      </c>
      <c r="D110" s="13">
        <v>4315443279.8300238</v>
      </c>
      <c r="E110" s="9"/>
      <c r="F110" s="9"/>
      <c r="G110" s="9"/>
      <c r="H110" s="9"/>
      <c r="I110" s="9"/>
      <c r="L110" s="65" t="s">
        <v>54</v>
      </c>
      <c r="M110" s="66" t="s">
        <v>55</v>
      </c>
      <c r="N110" s="13">
        <v>0.97123400885485045</v>
      </c>
    </row>
    <row r="111" spans="2:14" x14ac:dyDescent="0.45">
      <c r="B111" s="65" t="s">
        <v>54</v>
      </c>
      <c r="C111" s="66" t="s">
        <v>56</v>
      </c>
      <c r="D111" s="13">
        <v>4265994041.1147041</v>
      </c>
      <c r="E111" s="9"/>
      <c r="F111" s="9"/>
      <c r="G111" s="9"/>
      <c r="H111" s="9"/>
      <c r="I111" s="9"/>
      <c r="L111" s="65" t="s">
        <v>54</v>
      </c>
      <c r="M111" s="66" t="s">
        <v>56</v>
      </c>
      <c r="N111" s="13">
        <v>0.9601145271485001</v>
      </c>
    </row>
    <row r="112" spans="2:14" x14ac:dyDescent="0.45">
      <c r="B112" s="65" t="s">
        <v>54</v>
      </c>
      <c r="C112" s="66" t="s">
        <v>57</v>
      </c>
      <c r="D112" s="13">
        <v>268425519129.15753</v>
      </c>
      <c r="E112" s="9"/>
      <c r="F112" s="9"/>
      <c r="G112" s="9"/>
      <c r="H112" s="9"/>
      <c r="I112" s="9"/>
      <c r="L112" s="65" t="s">
        <v>54</v>
      </c>
      <c r="M112" s="66" t="s">
        <v>57</v>
      </c>
      <c r="N112" s="13">
        <v>0.98873942722871422</v>
      </c>
    </row>
    <row r="113" spans="2:14" x14ac:dyDescent="0.45">
      <c r="B113" s="12"/>
      <c r="C113" s="9"/>
      <c r="D113" s="13"/>
      <c r="E113" s="9"/>
      <c r="F113" s="9"/>
      <c r="G113" s="9"/>
      <c r="H113" s="9"/>
      <c r="I113" s="9"/>
      <c r="L113" s="65"/>
      <c r="M113" s="66"/>
      <c r="N113" s="13"/>
    </row>
    <row r="114" spans="2:14" ht="17.5" thickBot="1" x14ac:dyDescent="0.5">
      <c r="B114" s="67" t="s">
        <v>123</v>
      </c>
      <c r="C114" s="15"/>
      <c r="D114" s="68">
        <v>12686987378.674353</v>
      </c>
      <c r="E114" s="9"/>
      <c r="F114" s="9"/>
      <c r="G114" s="9"/>
      <c r="H114" s="9"/>
      <c r="I114" s="9"/>
      <c r="L114" s="67"/>
      <c r="M114" s="69" t="s">
        <v>123</v>
      </c>
      <c r="N114" s="16">
        <v>0.98159062054592028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32A12-E8A9-4C07-B28E-FF5B2F1173EB}">
  <dimension ref="A1:AZ208"/>
  <sheetViews>
    <sheetView topLeftCell="T52" zoomScale="55" zoomScaleNormal="55" workbookViewId="0">
      <selection activeCell="I84" sqref="I84"/>
    </sheetView>
  </sheetViews>
  <sheetFormatPr defaultRowHeight="17" x14ac:dyDescent="0.45"/>
  <cols>
    <col min="4" max="4" width="12.5" bestFit="1" customWidth="1"/>
    <col min="7" max="7" width="9.1640625" bestFit="1" customWidth="1"/>
    <col min="14" max="17" width="12.08203125" bestFit="1" customWidth="1"/>
    <col min="18" max="18" width="10.33203125" bestFit="1" customWidth="1"/>
    <col min="19" max="21" width="12.08203125" bestFit="1" customWidth="1"/>
    <col min="24" max="24" width="12.08203125" bestFit="1" customWidth="1"/>
    <col min="25" max="25" width="11.25" bestFit="1" customWidth="1"/>
    <col min="27" max="27" width="12.33203125" bestFit="1" customWidth="1"/>
    <col min="34" max="34" width="12.08203125" bestFit="1" customWidth="1"/>
    <col min="44" max="44" width="12.5" bestFit="1" customWidth="1"/>
  </cols>
  <sheetData>
    <row r="1" spans="2:17" ht="17.5" thickBot="1" x14ac:dyDescent="0.5"/>
    <row r="2" spans="2:17" ht="17.5" thickBot="1" x14ac:dyDescent="0.5">
      <c r="B2" s="1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3"/>
    </row>
    <row r="3" spans="2:17" x14ac:dyDescent="0.45">
      <c r="B3" s="4"/>
      <c r="C3" s="1" t="s">
        <v>0</v>
      </c>
      <c r="D3" s="3"/>
      <c r="F3" s="1" t="s">
        <v>1</v>
      </c>
      <c r="G3" s="3"/>
      <c r="I3" s="1" t="s">
        <v>2</v>
      </c>
      <c r="J3" s="3"/>
      <c r="L3" s="1" t="s">
        <v>3</v>
      </c>
      <c r="M3" s="3"/>
      <c r="O3" s="1" t="s">
        <v>4</v>
      </c>
      <c r="P3" s="3"/>
      <c r="Q3" s="5"/>
    </row>
    <row r="4" spans="2:17" ht="17.5" thickBot="1" x14ac:dyDescent="0.5">
      <c r="B4" s="4"/>
      <c r="C4" s="31" t="s">
        <v>5</v>
      </c>
      <c r="D4" s="5">
        <v>0.625</v>
      </c>
      <c r="F4" s="4" t="s">
        <v>6</v>
      </c>
      <c r="G4" s="36">
        <v>47.491779999999999</v>
      </c>
      <c r="H4" s="20"/>
      <c r="I4" s="6" t="s">
        <v>7</v>
      </c>
      <c r="J4" s="7">
        <v>1.05</v>
      </c>
      <c r="L4" s="4" t="s">
        <v>8</v>
      </c>
      <c r="M4" s="5">
        <v>8</v>
      </c>
      <c r="O4" s="4" t="s">
        <v>9</v>
      </c>
      <c r="P4" s="5">
        <f>J4*(G8-G14)*(M4/M5)*D8</f>
        <v>318.76703873437503</v>
      </c>
      <c r="Q4" s="5"/>
    </row>
    <row r="5" spans="2:17" x14ac:dyDescent="0.45">
      <c r="B5" s="4"/>
      <c r="C5" s="31" t="s">
        <v>10</v>
      </c>
      <c r="D5" s="5">
        <v>55</v>
      </c>
      <c r="F5" s="4" t="s">
        <v>11</v>
      </c>
      <c r="G5" s="5"/>
      <c r="H5" s="21"/>
      <c r="L5" s="4" t="s">
        <v>12</v>
      </c>
      <c r="M5" s="5">
        <v>4</v>
      </c>
      <c r="O5" s="4" t="s">
        <v>13</v>
      </c>
      <c r="P5" s="5">
        <f>J4*(G9-G14)*(M4/M5)*D8</f>
        <v>213.53715435937502</v>
      </c>
      <c r="Q5" s="5"/>
    </row>
    <row r="6" spans="2:17" x14ac:dyDescent="0.45">
      <c r="B6" s="4"/>
      <c r="C6" s="31" t="s">
        <v>14</v>
      </c>
      <c r="D6" s="5">
        <v>30</v>
      </c>
      <c r="F6" s="4" t="s">
        <v>15</v>
      </c>
      <c r="G6" s="5">
        <v>44.875</v>
      </c>
      <c r="H6" s="21"/>
      <c r="L6" s="4" t="s">
        <v>16</v>
      </c>
      <c r="M6" s="5">
        <v>0.33</v>
      </c>
      <c r="O6" s="4" t="s">
        <v>17</v>
      </c>
      <c r="P6" s="5">
        <f>J4*(G12-G13)*D5</f>
        <v>38.960342695312391</v>
      </c>
      <c r="Q6" s="5"/>
    </row>
    <row r="7" spans="2:17" ht="17.5" thickBot="1" x14ac:dyDescent="0.5">
      <c r="B7" s="57"/>
      <c r="C7" s="60" t="s">
        <v>18</v>
      </c>
      <c r="D7" s="5">
        <v>90</v>
      </c>
      <c r="F7" s="31" t="s">
        <v>19</v>
      </c>
      <c r="G7" s="5">
        <v>47.765630000000002</v>
      </c>
      <c r="H7" s="21"/>
      <c r="K7" s="22"/>
      <c r="L7" t="s">
        <v>20</v>
      </c>
      <c r="M7" s="22">
        <v>0.65</v>
      </c>
      <c r="O7" s="6" t="s">
        <v>21</v>
      </c>
      <c r="P7" s="7">
        <f>J4*(G11-G6)*D6</f>
        <v>82.428569999999951</v>
      </c>
      <c r="Q7" s="5"/>
    </row>
    <row r="8" spans="2:17" ht="17.5" thickBot="1" x14ac:dyDescent="0.5">
      <c r="B8" s="57"/>
      <c r="C8" s="23" t="s">
        <v>22</v>
      </c>
      <c r="D8" s="7">
        <f>D4/2</f>
        <v>0.3125</v>
      </c>
      <c r="F8" s="31" t="s">
        <v>23</v>
      </c>
      <c r="G8" s="5">
        <v>534.51760000000002</v>
      </c>
      <c r="H8" s="21"/>
      <c r="K8" s="22"/>
      <c r="L8" t="s">
        <v>24</v>
      </c>
      <c r="M8" s="22">
        <v>1</v>
      </c>
      <c r="Q8" s="5"/>
    </row>
    <row r="9" spans="2:17" ht="17.5" thickBot="1" x14ac:dyDescent="0.5">
      <c r="B9" s="4"/>
      <c r="F9" s="32" t="s">
        <v>25</v>
      </c>
      <c r="G9" s="7">
        <v>374.16730000000001</v>
      </c>
      <c r="H9" s="21"/>
      <c r="L9" s="6" t="s">
        <v>26</v>
      </c>
      <c r="M9" s="7">
        <v>16</v>
      </c>
      <c r="O9" s="1" t="s">
        <v>27</v>
      </c>
      <c r="P9" s="3"/>
      <c r="Q9" s="5"/>
    </row>
    <row r="10" spans="2:17" ht="17.5" thickBot="1" x14ac:dyDescent="0.5">
      <c r="B10" s="4"/>
      <c r="F10" s="58"/>
      <c r="O10" s="4" t="s">
        <v>28</v>
      </c>
      <c r="P10" s="5">
        <f>(G4-(G7*D5/D7+G6*(D7-D5)/D7))*J4</f>
        <v>0.89279808333333333</v>
      </c>
      <c r="Q10" s="5"/>
    </row>
    <row r="11" spans="2:17" ht="17.5" thickBot="1" x14ac:dyDescent="0.5">
      <c r="B11" s="4"/>
      <c r="E11" s="22"/>
      <c r="F11" t="s">
        <v>29</v>
      </c>
      <c r="G11" s="3">
        <f>G4</f>
        <v>47.491779999999999</v>
      </c>
      <c r="O11" s="4" t="s">
        <v>30</v>
      </c>
      <c r="P11" s="5">
        <f>(G8-G7)*J4</f>
        <v>511.08956850000004</v>
      </c>
      <c r="Q11" s="5"/>
    </row>
    <row r="12" spans="2:17" x14ac:dyDescent="0.45">
      <c r="B12" s="4"/>
      <c r="E12" s="22"/>
      <c r="F12" t="s">
        <v>31</v>
      </c>
      <c r="G12" s="5">
        <f>(G4*(D6+D5)-G11*D6)*(1/D5)</f>
        <v>47.491779999999999</v>
      </c>
      <c r="H12" s="57"/>
      <c r="I12" s="11" t="s">
        <v>67</v>
      </c>
      <c r="J12" s="11" t="s">
        <v>68</v>
      </c>
      <c r="K12" s="11" t="s">
        <v>69</v>
      </c>
      <c r="L12" s="26" t="s">
        <v>70</v>
      </c>
      <c r="O12" s="4" t="s">
        <v>32</v>
      </c>
      <c r="P12" s="5">
        <f>(G9-G7)*J4</f>
        <v>342.72175350000003</v>
      </c>
      <c r="Q12" s="5"/>
    </row>
    <row r="13" spans="2:17" ht="17.5" thickBot="1" x14ac:dyDescent="0.5">
      <c r="B13" s="4"/>
      <c r="E13" s="22"/>
      <c r="F13" t="s">
        <v>33</v>
      </c>
      <c r="G13" s="5">
        <f>(1/M9)*(G7+(M9-1)*(M7*(G7-G6)+G6))</f>
        <v>46.81714203125</v>
      </c>
      <c r="H13" s="57"/>
      <c r="I13" s="28">
        <v>1.1000000000000001</v>
      </c>
      <c r="J13" s="23">
        <v>1.1000000000000001</v>
      </c>
      <c r="K13" s="23">
        <v>1.18</v>
      </c>
      <c r="L13" s="24">
        <v>1.22</v>
      </c>
      <c r="N13" s="22"/>
      <c r="O13" t="s">
        <v>34</v>
      </c>
      <c r="P13" s="5">
        <f>J4*G7</f>
        <v>50.153911500000007</v>
      </c>
      <c r="Q13" s="5"/>
    </row>
    <row r="14" spans="2:17" x14ac:dyDescent="0.45">
      <c r="B14" s="4"/>
      <c r="E14" s="22"/>
      <c r="F14" t="s">
        <v>35</v>
      </c>
      <c r="G14" s="5">
        <f>G7+G7-G15</f>
        <v>48.777350500000004</v>
      </c>
      <c r="O14" s="4" t="s">
        <v>17</v>
      </c>
      <c r="P14" s="5">
        <f>P10*D5</f>
        <v>49.103894583333336</v>
      </c>
      <c r="Q14" s="5"/>
    </row>
    <row r="15" spans="2:17" ht="17.5" thickBot="1" x14ac:dyDescent="0.5">
      <c r="B15" s="4"/>
      <c r="E15" s="22"/>
      <c r="F15" s="23" t="s">
        <v>36</v>
      </c>
      <c r="G15" s="7">
        <f>M7*(G7-G6)+G6</f>
        <v>46.753909499999999</v>
      </c>
      <c r="O15" s="4" t="s">
        <v>37</v>
      </c>
      <c r="P15" s="5">
        <f>P11*M4/M5*D8</f>
        <v>319.43098031250003</v>
      </c>
      <c r="Q15" s="5"/>
    </row>
    <row r="16" spans="2:17" ht="17.5" thickBot="1" x14ac:dyDescent="0.5">
      <c r="B16" s="4"/>
      <c r="O16" s="6" t="s">
        <v>13</v>
      </c>
      <c r="P16" s="7">
        <f>P12*M4/M5*D8</f>
        <v>214.20109593750001</v>
      </c>
      <c r="Q16" s="5"/>
    </row>
    <row r="17" spans="2:34" x14ac:dyDescent="0.45">
      <c r="B17" s="4"/>
      <c r="Q17" s="5"/>
    </row>
    <row r="18" spans="2:34" ht="17.5" thickBot="1" x14ac:dyDescent="0.5">
      <c r="B18" s="6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7"/>
    </row>
    <row r="24" spans="2:34" ht="17.5" thickBot="1" x14ac:dyDescent="0.5">
      <c r="B24" s="10" t="s">
        <v>58</v>
      </c>
      <c r="L24" s="10" t="s">
        <v>59</v>
      </c>
      <c r="V24" s="10" t="s">
        <v>60</v>
      </c>
      <c r="AF24" s="10" t="s">
        <v>61</v>
      </c>
    </row>
    <row r="25" spans="2:34" x14ac:dyDescent="0.45">
      <c r="B25" s="17"/>
      <c r="C25" s="18"/>
      <c r="D25" s="19" t="s">
        <v>124</v>
      </c>
      <c r="L25" s="17"/>
      <c r="M25" s="18"/>
      <c r="N25" s="19" t="s">
        <v>124</v>
      </c>
      <c r="V25" s="17"/>
      <c r="W25" s="18"/>
      <c r="X25" s="19" t="s">
        <v>124</v>
      </c>
      <c r="AF25" s="17"/>
      <c r="AG25" s="18"/>
      <c r="AH25" s="19" t="s">
        <v>124</v>
      </c>
    </row>
    <row r="26" spans="2:34" x14ac:dyDescent="0.45">
      <c r="B26" s="12" t="s">
        <v>38</v>
      </c>
      <c r="C26" s="9" t="s">
        <v>39</v>
      </c>
      <c r="D26" s="13">
        <v>74725756</v>
      </c>
      <c r="L26" s="12" t="s">
        <v>38</v>
      </c>
      <c r="M26" s="9" t="s">
        <v>39</v>
      </c>
      <c r="N26" s="13">
        <v>74839036</v>
      </c>
      <c r="V26" s="12" t="s">
        <v>38</v>
      </c>
      <c r="W26" s="9" t="s">
        <v>39</v>
      </c>
      <c r="X26" s="13">
        <v>193837182</v>
      </c>
      <c r="AF26" s="12" t="s">
        <v>38</v>
      </c>
      <c r="AG26" s="9" t="s">
        <v>39</v>
      </c>
      <c r="AH26" s="13">
        <v>93407880</v>
      </c>
    </row>
    <row r="27" spans="2:34" x14ac:dyDescent="0.45">
      <c r="B27" s="12" t="s">
        <v>38</v>
      </c>
      <c r="C27" s="9" t="s">
        <v>40</v>
      </c>
      <c r="D27" s="13">
        <v>118673</v>
      </c>
      <c r="L27" s="12" t="s">
        <v>38</v>
      </c>
      <c r="M27" s="9" t="s">
        <v>40</v>
      </c>
      <c r="N27" s="13">
        <v>119697</v>
      </c>
      <c r="V27" s="12" t="s">
        <v>38</v>
      </c>
      <c r="W27" s="9" t="s">
        <v>40</v>
      </c>
      <c r="X27" s="13">
        <v>1208558</v>
      </c>
      <c r="AF27" s="12" t="s">
        <v>38</v>
      </c>
      <c r="AG27" s="9" t="s">
        <v>40</v>
      </c>
      <c r="AH27" s="13">
        <v>17024</v>
      </c>
    </row>
    <row r="28" spans="2:34" x14ac:dyDescent="0.45">
      <c r="B28" s="12" t="s">
        <v>38</v>
      </c>
      <c r="C28" s="9" t="s">
        <v>41</v>
      </c>
      <c r="D28" s="13">
        <v>11235</v>
      </c>
      <c r="L28" s="12" t="s">
        <v>38</v>
      </c>
      <c r="M28" s="9" t="s">
        <v>41</v>
      </c>
      <c r="N28" s="13">
        <v>11747</v>
      </c>
      <c r="V28" s="12" t="s">
        <v>38</v>
      </c>
      <c r="W28" s="9" t="s">
        <v>41</v>
      </c>
      <c r="X28" s="13">
        <v>468092</v>
      </c>
      <c r="AF28" s="12" t="s">
        <v>38</v>
      </c>
      <c r="AG28" s="9" t="s">
        <v>41</v>
      </c>
      <c r="AH28" s="13">
        <v>173352</v>
      </c>
    </row>
    <row r="29" spans="2:34" x14ac:dyDescent="0.45">
      <c r="B29" s="12" t="s">
        <v>38</v>
      </c>
      <c r="C29" s="9" t="s">
        <v>42</v>
      </c>
      <c r="D29" s="13">
        <v>862099</v>
      </c>
      <c r="L29" s="12" t="s">
        <v>38</v>
      </c>
      <c r="M29" s="9" t="s">
        <v>42</v>
      </c>
      <c r="N29" s="13">
        <v>867201</v>
      </c>
      <c r="V29" s="12" t="s">
        <v>38</v>
      </c>
      <c r="W29" s="9" t="s">
        <v>42</v>
      </c>
      <c r="X29" s="13">
        <v>6155760</v>
      </c>
      <c r="AF29" s="12" t="s">
        <v>38</v>
      </c>
      <c r="AG29" s="9" t="s">
        <v>42</v>
      </c>
      <c r="AH29" s="13">
        <v>10628458</v>
      </c>
    </row>
    <row r="30" spans="2:34" x14ac:dyDescent="0.45">
      <c r="B30" s="12" t="s">
        <v>38</v>
      </c>
      <c r="C30" s="9" t="s">
        <v>43</v>
      </c>
      <c r="D30" s="13">
        <v>14988521</v>
      </c>
      <c r="L30" s="12" t="s">
        <v>38</v>
      </c>
      <c r="M30" s="9" t="s">
        <v>43</v>
      </c>
      <c r="N30" s="13">
        <v>15000809</v>
      </c>
      <c r="V30" s="12" t="s">
        <v>38</v>
      </c>
      <c r="W30" s="9" t="s">
        <v>43</v>
      </c>
      <c r="X30" s="13">
        <v>58578472</v>
      </c>
      <c r="AF30" s="12" t="s">
        <v>38</v>
      </c>
      <c r="AG30" s="9" t="s">
        <v>43</v>
      </c>
      <c r="AH30" s="13">
        <v>31234822</v>
      </c>
    </row>
    <row r="31" spans="2:34" x14ac:dyDescent="0.45">
      <c r="B31" s="12" t="s">
        <v>38</v>
      </c>
      <c r="C31" s="9" t="s">
        <v>44</v>
      </c>
      <c r="D31" s="13">
        <v>286439776</v>
      </c>
      <c r="L31" s="12" t="s">
        <v>38</v>
      </c>
      <c r="M31" s="9" t="s">
        <v>44</v>
      </c>
      <c r="N31" s="13">
        <v>286692435</v>
      </c>
      <c r="V31" s="12" t="s">
        <v>38</v>
      </c>
      <c r="W31" s="9" t="s">
        <v>44</v>
      </c>
      <c r="X31" s="13">
        <v>18898106</v>
      </c>
      <c r="AF31" s="12" t="s">
        <v>38</v>
      </c>
      <c r="AG31" s="9" t="s">
        <v>44</v>
      </c>
      <c r="AH31" s="13">
        <v>8453281473</v>
      </c>
    </row>
    <row r="32" spans="2:34" x14ac:dyDescent="0.45">
      <c r="B32" s="12" t="s">
        <v>45</v>
      </c>
      <c r="C32" s="9" t="s">
        <v>46</v>
      </c>
      <c r="D32" s="13">
        <v>22153</v>
      </c>
      <c r="L32" s="12" t="s">
        <v>45</v>
      </c>
      <c r="M32" s="9" t="s">
        <v>46</v>
      </c>
      <c r="N32" s="13">
        <v>22665</v>
      </c>
      <c r="V32" s="12" t="s">
        <v>45</v>
      </c>
      <c r="W32" s="9" t="s">
        <v>46</v>
      </c>
      <c r="X32" s="13">
        <v>630848</v>
      </c>
      <c r="AF32" s="12" t="s">
        <v>45</v>
      </c>
      <c r="AG32" s="9" t="s">
        <v>46</v>
      </c>
      <c r="AH32" s="13">
        <v>0</v>
      </c>
    </row>
    <row r="33" spans="1:39" x14ac:dyDescent="0.45">
      <c r="B33" s="12" t="s">
        <v>45</v>
      </c>
      <c r="C33" s="9" t="s">
        <v>47</v>
      </c>
      <c r="D33" s="13">
        <v>15212</v>
      </c>
      <c r="L33" s="12" t="s">
        <v>45</v>
      </c>
      <c r="M33" s="9" t="s">
        <v>47</v>
      </c>
      <c r="N33" s="13">
        <v>16236</v>
      </c>
      <c r="V33" s="12" t="s">
        <v>45</v>
      </c>
      <c r="W33" s="9" t="s">
        <v>47</v>
      </c>
      <c r="X33" s="13">
        <v>262144</v>
      </c>
      <c r="AF33" s="12" t="s">
        <v>45</v>
      </c>
      <c r="AG33" s="9" t="s">
        <v>47</v>
      </c>
      <c r="AH33" s="13">
        <v>0</v>
      </c>
    </row>
    <row r="34" spans="1:39" x14ac:dyDescent="0.45">
      <c r="B34" s="12" t="s">
        <v>45</v>
      </c>
      <c r="C34" s="9" t="s">
        <v>48</v>
      </c>
      <c r="D34" s="13">
        <v>131786409</v>
      </c>
      <c r="L34" s="12" t="s">
        <v>45</v>
      </c>
      <c r="M34" s="9" t="s">
        <v>48</v>
      </c>
      <c r="N34" s="13">
        <v>131812009</v>
      </c>
      <c r="V34" s="12" t="s">
        <v>45</v>
      </c>
      <c r="W34" s="9" t="s">
        <v>48</v>
      </c>
      <c r="X34" s="13">
        <v>2426534456</v>
      </c>
      <c r="AF34" s="12" t="s">
        <v>45</v>
      </c>
      <c r="AG34" s="9" t="s">
        <v>48</v>
      </c>
      <c r="AH34" s="13">
        <v>45755434</v>
      </c>
    </row>
    <row r="35" spans="1:39" x14ac:dyDescent="0.45">
      <c r="B35" s="12" t="s">
        <v>49</v>
      </c>
      <c r="C35" s="9" t="s">
        <v>50</v>
      </c>
      <c r="D35" s="13">
        <v>19446695</v>
      </c>
      <c r="L35" s="12" t="s">
        <v>49</v>
      </c>
      <c r="M35" s="9" t="s">
        <v>50</v>
      </c>
      <c r="N35" s="13">
        <v>19447207</v>
      </c>
      <c r="V35" s="12" t="s">
        <v>49</v>
      </c>
      <c r="W35" s="9" t="s">
        <v>50</v>
      </c>
      <c r="X35" s="13">
        <v>42048348</v>
      </c>
      <c r="AF35" s="12" t="s">
        <v>49</v>
      </c>
      <c r="AG35" s="9" t="s">
        <v>50</v>
      </c>
      <c r="AH35" s="13">
        <v>19190304</v>
      </c>
    </row>
    <row r="36" spans="1:39" x14ac:dyDescent="0.45">
      <c r="B36" s="12" t="s">
        <v>49</v>
      </c>
      <c r="C36" s="9" t="s">
        <v>51</v>
      </c>
      <c r="D36" s="13">
        <v>196101707</v>
      </c>
      <c r="L36" s="12" t="s">
        <v>49</v>
      </c>
      <c r="M36" s="9" t="s">
        <v>51</v>
      </c>
      <c r="N36" s="13">
        <v>196105727</v>
      </c>
      <c r="V36" s="12" t="s">
        <v>49</v>
      </c>
      <c r="W36" s="9" t="s">
        <v>51</v>
      </c>
      <c r="X36" s="13">
        <v>418584882</v>
      </c>
      <c r="AF36" s="12" t="s">
        <v>49</v>
      </c>
      <c r="AG36" s="9" t="s">
        <v>51</v>
      </c>
      <c r="AH36" s="13">
        <v>28133640</v>
      </c>
    </row>
    <row r="37" spans="1:39" x14ac:dyDescent="0.45">
      <c r="B37" s="12" t="s">
        <v>49</v>
      </c>
      <c r="C37" s="9" t="s">
        <v>52</v>
      </c>
      <c r="D37" s="13">
        <v>608077343</v>
      </c>
      <c r="L37" s="12" t="s">
        <v>49</v>
      </c>
      <c r="M37" s="9" t="s">
        <v>52</v>
      </c>
      <c r="N37" s="13">
        <v>608087513</v>
      </c>
      <c r="V37" s="12" t="s">
        <v>49</v>
      </c>
      <c r="W37" s="9" t="s">
        <v>52</v>
      </c>
      <c r="X37" s="13">
        <v>1262752768</v>
      </c>
      <c r="AF37" s="12" t="s">
        <v>49</v>
      </c>
      <c r="AG37" s="9" t="s">
        <v>52</v>
      </c>
      <c r="AH37" s="13">
        <v>63595030</v>
      </c>
    </row>
    <row r="38" spans="1:39" ht="16.5" customHeight="1" x14ac:dyDescent="0.45">
      <c r="B38" s="12" t="s">
        <v>49</v>
      </c>
      <c r="C38" s="9" t="s">
        <v>74</v>
      </c>
      <c r="D38" s="13">
        <v>1023780</v>
      </c>
      <c r="L38" s="12" t="s">
        <v>49</v>
      </c>
      <c r="M38" s="9" t="s">
        <v>53</v>
      </c>
      <c r="N38" s="13">
        <v>1027364</v>
      </c>
      <c r="V38" s="12" t="s">
        <v>49</v>
      </c>
      <c r="W38" s="9" t="s">
        <v>53</v>
      </c>
      <c r="X38" s="13">
        <v>10166282</v>
      </c>
      <c r="AF38" s="12" t="s">
        <v>49</v>
      </c>
      <c r="AG38" s="9" t="s">
        <v>53</v>
      </c>
      <c r="AH38" s="13">
        <v>3386035</v>
      </c>
    </row>
    <row r="39" spans="1:39" x14ac:dyDescent="0.45">
      <c r="B39" s="12" t="s">
        <v>54</v>
      </c>
      <c r="C39" s="9" t="s">
        <v>55</v>
      </c>
      <c r="D39" s="13">
        <v>4215403</v>
      </c>
      <c r="L39" s="12" t="s">
        <v>54</v>
      </c>
      <c r="M39" s="9" t="s">
        <v>55</v>
      </c>
      <c r="N39" s="13">
        <v>4216427</v>
      </c>
      <c r="V39" s="12" t="s">
        <v>54</v>
      </c>
      <c r="W39" s="9" t="s">
        <v>55</v>
      </c>
      <c r="X39" s="13">
        <v>12517776</v>
      </c>
      <c r="AF39" s="12" t="s">
        <v>54</v>
      </c>
      <c r="AG39" s="9" t="s">
        <v>55</v>
      </c>
      <c r="AH39" s="13">
        <v>1024</v>
      </c>
    </row>
    <row r="40" spans="1:39" x14ac:dyDescent="0.45">
      <c r="B40" s="12" t="s">
        <v>54</v>
      </c>
      <c r="C40" s="9" t="s">
        <v>56</v>
      </c>
      <c r="D40" s="13">
        <v>4215323</v>
      </c>
      <c r="L40" s="12" t="s">
        <v>54</v>
      </c>
      <c r="M40" s="9" t="s">
        <v>56</v>
      </c>
      <c r="N40" s="13">
        <v>4216347</v>
      </c>
      <c r="V40" s="12" t="s">
        <v>54</v>
      </c>
      <c r="W40" s="9" t="s">
        <v>56</v>
      </c>
      <c r="X40" s="13">
        <v>12519344</v>
      </c>
      <c r="AF40" s="12" t="s">
        <v>54</v>
      </c>
      <c r="AG40" s="9" t="s">
        <v>56</v>
      </c>
      <c r="AH40" s="13">
        <v>1024</v>
      </c>
    </row>
    <row r="41" spans="1:39" ht="17.5" thickBot="1" x14ac:dyDescent="0.5">
      <c r="B41" s="14" t="s">
        <v>54</v>
      </c>
      <c r="C41" s="15" t="s">
        <v>57</v>
      </c>
      <c r="D41" s="16">
        <v>15164611</v>
      </c>
      <c r="L41" s="14" t="s">
        <v>54</v>
      </c>
      <c r="M41" s="15" t="s">
        <v>57</v>
      </c>
      <c r="N41" s="16">
        <v>15294531</v>
      </c>
      <c r="V41" s="14" t="s">
        <v>54</v>
      </c>
      <c r="W41" s="15" t="s">
        <v>57</v>
      </c>
      <c r="X41" s="16">
        <v>538918912</v>
      </c>
      <c r="AF41" s="14" t="s">
        <v>54</v>
      </c>
      <c r="AG41" s="15" t="s">
        <v>57</v>
      </c>
      <c r="AH41" s="16">
        <v>481669203</v>
      </c>
    </row>
    <row r="44" spans="1:39" x14ac:dyDescent="0.4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</row>
    <row r="45" spans="1:39" x14ac:dyDescent="0.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</row>
    <row r="46" spans="1:39" x14ac:dyDescent="0.4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</row>
    <row r="47" spans="1:39" x14ac:dyDescent="0.4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</row>
    <row r="48" spans="1:39" x14ac:dyDescent="0.4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</row>
    <row r="49" spans="1:52" x14ac:dyDescent="0.4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</row>
    <row r="50" spans="1:52" x14ac:dyDescent="0.4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</row>
    <row r="51" spans="1:52" x14ac:dyDescent="0.4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</row>
    <row r="52" spans="1:52" x14ac:dyDescent="0.4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</row>
    <row r="53" spans="1:52" x14ac:dyDescent="0.4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</row>
    <row r="58" spans="1:52" ht="17.5" thickBot="1" x14ac:dyDescent="0.5">
      <c r="B58" s="10" t="s">
        <v>62</v>
      </c>
      <c r="L58" s="10" t="s">
        <v>63</v>
      </c>
      <c r="V58" s="10" t="s">
        <v>64</v>
      </c>
      <c r="AF58" s="10" t="s">
        <v>65</v>
      </c>
      <c r="AP58" s="10" t="s">
        <v>66</v>
      </c>
      <c r="AZ58" s="10"/>
    </row>
    <row r="59" spans="1:52" x14ac:dyDescent="0.45">
      <c r="B59" s="17"/>
      <c r="C59" s="18"/>
      <c r="D59" s="19" t="s">
        <v>124</v>
      </c>
      <c r="L59" s="17"/>
      <c r="M59" s="18"/>
      <c r="N59" s="19" t="s">
        <v>124</v>
      </c>
      <c r="V59" s="17"/>
      <c r="W59" s="18"/>
      <c r="X59" s="19" t="s">
        <v>124</v>
      </c>
      <c r="AF59" s="17"/>
      <c r="AG59" s="18"/>
      <c r="AH59" s="19" t="s">
        <v>124</v>
      </c>
      <c r="AP59" s="17"/>
      <c r="AQ59" s="18"/>
      <c r="AR59" s="19" t="s">
        <v>124</v>
      </c>
    </row>
    <row r="60" spans="1:52" x14ac:dyDescent="0.45">
      <c r="B60" s="12" t="s">
        <v>38</v>
      </c>
      <c r="C60" s="9" t="s">
        <v>39</v>
      </c>
      <c r="D60" s="13">
        <f t="shared" ref="D60:D75" si="0">D26*$P$7</f>
        <v>6159537209.2489166</v>
      </c>
      <c r="L60" s="12" t="s">
        <v>38</v>
      </c>
      <c r="M60" s="9" t="s">
        <v>39</v>
      </c>
      <c r="N60" s="13">
        <f t="shared" ref="N60:N75" si="1">N26*$P$6</f>
        <v>2915754489.5468211</v>
      </c>
      <c r="V60" s="12" t="s">
        <v>38</v>
      </c>
      <c r="W60" s="9" t="s">
        <v>39</v>
      </c>
      <c r="X60" s="13">
        <f t="shared" ref="X60:X75" si="2">X26*$P$4</f>
        <v>61788904502.756104</v>
      </c>
      <c r="AF60" s="12" t="s">
        <v>38</v>
      </c>
      <c r="AG60" s="9" t="s">
        <v>39</v>
      </c>
      <c r="AH60" s="13">
        <f t="shared" ref="AH60:AH75" si="3">AH26*$P$5</f>
        <v>19946052889.941978</v>
      </c>
      <c r="AP60" s="12" t="s">
        <v>38</v>
      </c>
      <c r="AQ60" s="70" t="s">
        <v>39</v>
      </c>
      <c r="AR60" s="13">
        <f t="shared" ref="AR60:AR75" si="4">D60+N60+X60+AH60</f>
        <v>90810249091.493835</v>
      </c>
    </row>
    <row r="61" spans="1:52" x14ac:dyDescent="0.45">
      <c r="B61" s="12" t="s">
        <v>38</v>
      </c>
      <c r="C61" s="9" t="s">
        <v>40</v>
      </c>
      <c r="D61" s="13">
        <f t="shared" si="0"/>
        <v>9782045.6876099948</v>
      </c>
      <c r="L61" s="12" t="s">
        <v>38</v>
      </c>
      <c r="M61" s="9" t="s">
        <v>40</v>
      </c>
      <c r="N61" s="13">
        <f t="shared" si="1"/>
        <v>4663436.1396008069</v>
      </c>
      <c r="V61" s="12" t="s">
        <v>38</v>
      </c>
      <c r="W61" s="9" t="s">
        <v>40</v>
      </c>
      <c r="X61" s="13">
        <f t="shared" si="2"/>
        <v>385248454.79873884</v>
      </c>
      <c r="AF61" s="12" t="s">
        <v>38</v>
      </c>
      <c r="AG61" s="9" t="s">
        <v>40</v>
      </c>
      <c r="AH61" s="13">
        <f t="shared" si="3"/>
        <v>3635256.5158140003</v>
      </c>
      <c r="AP61" s="12" t="s">
        <v>38</v>
      </c>
      <c r="AQ61" s="70" t="s">
        <v>40</v>
      </c>
      <c r="AR61" s="13">
        <f t="shared" si="4"/>
        <v>403329193.14176363</v>
      </c>
    </row>
    <row r="62" spans="1:52" x14ac:dyDescent="0.45">
      <c r="B62" s="12" t="s">
        <v>38</v>
      </c>
      <c r="C62" s="9" t="s">
        <v>41</v>
      </c>
      <c r="D62" s="13">
        <f t="shared" si="0"/>
        <v>926084.98394999944</v>
      </c>
      <c r="L62" s="12" t="s">
        <v>38</v>
      </c>
      <c r="M62" s="9" t="s">
        <v>41</v>
      </c>
      <c r="N62" s="13">
        <f t="shared" si="1"/>
        <v>457667.14564183465</v>
      </c>
      <c r="V62" s="12" t="s">
        <v>38</v>
      </c>
      <c r="W62" s="9" t="s">
        <v>41</v>
      </c>
      <c r="X62" s="13">
        <f t="shared" si="2"/>
        <v>149212300.69525108</v>
      </c>
      <c r="AF62" s="12" t="s">
        <v>38</v>
      </c>
      <c r="AG62" s="9" t="s">
        <v>41</v>
      </c>
      <c r="AH62" s="13">
        <f t="shared" si="3"/>
        <v>37017092.782506377</v>
      </c>
      <c r="AP62" s="12" t="s">
        <v>38</v>
      </c>
      <c r="AQ62" s="70" t="s">
        <v>41</v>
      </c>
      <c r="AR62" s="13">
        <f t="shared" si="4"/>
        <v>187613145.60734928</v>
      </c>
    </row>
    <row r="63" spans="1:52" x14ac:dyDescent="0.45">
      <c r="B63" s="12" t="s">
        <v>38</v>
      </c>
      <c r="C63" s="9" t="s">
        <v>42</v>
      </c>
      <c r="D63" s="13">
        <f t="shared" si="0"/>
        <v>71061587.768429965</v>
      </c>
      <c r="L63" s="12" t="s">
        <v>38</v>
      </c>
      <c r="M63" s="9" t="s">
        <v>42</v>
      </c>
      <c r="N63" s="13">
        <f t="shared" si="1"/>
        <v>33786448.145717598</v>
      </c>
      <c r="V63" s="12" t="s">
        <v>38</v>
      </c>
      <c r="W63" s="9" t="s">
        <v>42</v>
      </c>
      <c r="X63" s="13">
        <f t="shared" si="2"/>
        <v>1962253386.3595164</v>
      </c>
      <c r="AF63" s="12" t="s">
        <v>38</v>
      </c>
      <c r="AG63" s="9" t="s">
        <v>42</v>
      </c>
      <c r="AH63" s="13">
        <f t="shared" si="3"/>
        <v>2269570676.5481343</v>
      </c>
      <c r="AP63" s="12" t="s">
        <v>38</v>
      </c>
      <c r="AQ63" s="70" t="s">
        <v>42</v>
      </c>
      <c r="AR63" s="13">
        <f t="shared" si="4"/>
        <v>4336672098.8217983</v>
      </c>
    </row>
    <row r="64" spans="1:52" x14ac:dyDescent="0.45">
      <c r="B64" s="12" t="s">
        <v>38</v>
      </c>
      <c r="C64" s="9" t="s">
        <v>43</v>
      </c>
      <c r="D64" s="13">
        <f t="shared" si="0"/>
        <v>1235482352.4449692</v>
      </c>
      <c r="L64" s="12" t="s">
        <v>38</v>
      </c>
      <c r="M64" s="9" t="s">
        <v>43</v>
      </c>
      <c r="N64" s="13">
        <f t="shared" si="1"/>
        <v>584436659.34692633</v>
      </c>
      <c r="V64" s="12" t="s">
        <v>38</v>
      </c>
      <c r="W64" s="9" t="s">
        <v>43</v>
      </c>
      <c r="X64" s="13">
        <f t="shared" si="2"/>
        <v>18672886053.024502</v>
      </c>
      <c r="AF64" s="12" t="s">
        <v>38</v>
      </c>
      <c r="AG64" s="9" t="s">
        <v>43</v>
      </c>
      <c r="AH64" s="13">
        <f t="shared" si="3"/>
        <v>6669795006.8016033</v>
      </c>
      <c r="AP64" s="12" t="s">
        <v>38</v>
      </c>
      <c r="AQ64" s="70" t="s">
        <v>43</v>
      </c>
      <c r="AR64" s="13">
        <f t="shared" si="4"/>
        <v>27162600071.618004</v>
      </c>
    </row>
    <row r="65" spans="2:44" x14ac:dyDescent="0.45">
      <c r="B65" s="12" t="s">
        <v>38</v>
      </c>
      <c r="C65" s="9" t="s">
        <v>44</v>
      </c>
      <c r="D65" s="13">
        <f t="shared" si="0"/>
        <v>23610821126.800304</v>
      </c>
      <c r="L65" s="12" t="s">
        <v>38</v>
      </c>
      <c r="M65" s="9" t="s">
        <v>44</v>
      </c>
      <c r="N65" s="13">
        <f t="shared" si="1"/>
        <v>11169635515.753572</v>
      </c>
      <c r="V65" s="12" t="s">
        <v>38</v>
      </c>
      <c r="W65" s="9" t="s">
        <v>44</v>
      </c>
      <c r="X65" s="13">
        <f t="shared" si="2"/>
        <v>6024093287.3083248</v>
      </c>
      <c r="AF65" s="12" t="s">
        <v>38</v>
      </c>
      <c r="AG65" s="9" t="s">
        <v>44</v>
      </c>
      <c r="AH65" s="13">
        <f t="shared" si="3"/>
        <v>1805089670743.2461</v>
      </c>
      <c r="AP65" s="12" t="s">
        <v>38</v>
      </c>
      <c r="AQ65" s="70" t="s">
        <v>44</v>
      </c>
      <c r="AR65" s="13">
        <f t="shared" si="4"/>
        <v>1845894220673.1084</v>
      </c>
    </row>
    <row r="66" spans="2:44" x14ac:dyDescent="0.45">
      <c r="B66" s="12" t="s">
        <v>45</v>
      </c>
      <c r="C66" s="9" t="s">
        <v>46</v>
      </c>
      <c r="D66" s="13">
        <f t="shared" si="0"/>
        <v>1826040.1112099988</v>
      </c>
      <c r="L66" s="12" t="s">
        <v>45</v>
      </c>
      <c r="M66" s="9" t="s">
        <v>46</v>
      </c>
      <c r="N66" s="13">
        <f t="shared" si="1"/>
        <v>883036.16718925536</v>
      </c>
      <c r="V66" s="12" t="s">
        <v>45</v>
      </c>
      <c r="W66" s="9" t="s">
        <v>46</v>
      </c>
      <c r="X66" s="13">
        <f t="shared" si="2"/>
        <v>201093548.85150301</v>
      </c>
      <c r="AF66" s="12" t="s">
        <v>45</v>
      </c>
      <c r="AG66" s="9" t="s">
        <v>46</v>
      </c>
      <c r="AH66" s="13">
        <f t="shared" si="3"/>
        <v>0</v>
      </c>
      <c r="AP66" s="12" t="s">
        <v>45</v>
      </c>
      <c r="AQ66" s="70" t="s">
        <v>46</v>
      </c>
      <c r="AR66" s="13">
        <f t="shared" si="4"/>
        <v>203802625.12990227</v>
      </c>
    </row>
    <row r="67" spans="2:44" x14ac:dyDescent="0.45">
      <c r="B67" s="12" t="s">
        <v>45</v>
      </c>
      <c r="C67" s="9" t="s">
        <v>47</v>
      </c>
      <c r="D67" s="13">
        <f t="shared" si="0"/>
        <v>1253903.4068399991</v>
      </c>
      <c r="L67" s="12" t="s">
        <v>45</v>
      </c>
      <c r="M67" s="9" t="s">
        <v>47</v>
      </c>
      <c r="N67" s="13">
        <f t="shared" si="1"/>
        <v>632560.12400109204</v>
      </c>
      <c r="V67" s="12" t="s">
        <v>45</v>
      </c>
      <c r="W67" s="9" t="s">
        <v>47</v>
      </c>
      <c r="X67" s="13">
        <f t="shared" si="2"/>
        <v>83562866.601984009</v>
      </c>
      <c r="AF67" s="12" t="s">
        <v>45</v>
      </c>
      <c r="AG67" s="9" t="s">
        <v>47</v>
      </c>
      <c r="AH67" s="13">
        <f t="shared" si="3"/>
        <v>0</v>
      </c>
      <c r="AP67" s="12" t="s">
        <v>45</v>
      </c>
      <c r="AQ67" s="70" t="s">
        <v>47</v>
      </c>
      <c r="AR67" s="13">
        <f t="shared" si="4"/>
        <v>85449330.132825106</v>
      </c>
    </row>
    <row r="68" spans="2:44" x14ac:dyDescent="0.45">
      <c r="B68" s="12" t="s">
        <v>45</v>
      </c>
      <c r="C68" s="9" t="s">
        <v>48</v>
      </c>
      <c r="D68" s="13">
        <f t="shared" si="0"/>
        <v>10862965239.305124</v>
      </c>
      <c r="L68" s="12" t="s">
        <v>45</v>
      </c>
      <c r="M68" s="9" t="s">
        <v>48</v>
      </c>
      <c r="N68" s="13">
        <f t="shared" si="1"/>
        <v>5135441041.9976015</v>
      </c>
      <c r="V68" s="12" t="s">
        <v>45</v>
      </c>
      <c r="W68" s="9" t="s">
        <v>48</v>
      </c>
      <c r="X68" s="13">
        <f t="shared" si="2"/>
        <v>773499202926.04761</v>
      </c>
      <c r="AF68" s="12" t="s">
        <v>45</v>
      </c>
      <c r="AG68" s="9" t="s">
        <v>48</v>
      </c>
      <c r="AH68" s="13">
        <f t="shared" si="3"/>
        <v>9770485172.8381958</v>
      </c>
      <c r="AP68" s="12" t="s">
        <v>45</v>
      </c>
      <c r="AQ68" s="70" t="s">
        <v>48</v>
      </c>
      <c r="AR68" s="13">
        <f t="shared" si="4"/>
        <v>799268094380.18848</v>
      </c>
    </row>
    <row r="69" spans="2:44" x14ac:dyDescent="0.45">
      <c r="B69" s="12" t="s">
        <v>49</v>
      </c>
      <c r="C69" s="9" t="s">
        <v>50</v>
      </c>
      <c r="D69" s="13">
        <f t="shared" si="0"/>
        <v>1602963260.076149</v>
      </c>
      <c r="L69" s="12" t="s">
        <v>49</v>
      </c>
      <c r="M69" s="9" t="s">
        <v>50</v>
      </c>
      <c r="N69" s="13">
        <f t="shared" si="1"/>
        <v>757669849.18667805</v>
      </c>
      <c r="V69" s="12" t="s">
        <v>49</v>
      </c>
      <c r="W69" s="9" t="s">
        <v>50</v>
      </c>
      <c r="X69" s="13">
        <f t="shared" si="2"/>
        <v>13403627375.632481</v>
      </c>
      <c r="AF69" s="12" t="s">
        <v>49</v>
      </c>
      <c r="AG69" s="9" t="s">
        <v>50</v>
      </c>
      <c r="AH69" s="13">
        <f t="shared" si="3"/>
        <v>4097842907.4513321</v>
      </c>
      <c r="AP69" s="12" t="s">
        <v>49</v>
      </c>
      <c r="AQ69" s="70" t="s">
        <v>50</v>
      </c>
      <c r="AR69" s="13">
        <f t="shared" si="4"/>
        <v>19862103392.346642</v>
      </c>
    </row>
    <row r="70" spans="2:44" x14ac:dyDescent="0.45">
      <c r="B70" s="12" t="s">
        <v>49</v>
      </c>
      <c r="C70" s="9" t="s">
        <v>51</v>
      </c>
      <c r="D70" s="13">
        <f t="shared" si="0"/>
        <v>16164383282.568981</v>
      </c>
      <c r="L70" s="12" t="s">
        <v>49</v>
      </c>
      <c r="M70" s="9" t="s">
        <v>51</v>
      </c>
      <c r="N70" s="13">
        <f t="shared" si="1"/>
        <v>7640346328.4333763</v>
      </c>
      <c r="V70" s="12" t="s">
        <v>49</v>
      </c>
      <c r="W70" s="9" t="s">
        <v>51</v>
      </c>
      <c r="X70" s="13">
        <f t="shared" si="2"/>
        <v>133431063294.1178</v>
      </c>
      <c r="AF70" s="12" t="s">
        <v>49</v>
      </c>
      <c r="AG70" s="9" t="s">
        <v>51</v>
      </c>
      <c r="AH70" s="13">
        <f t="shared" si="3"/>
        <v>6007577427.3710871</v>
      </c>
      <c r="AP70" s="12" t="s">
        <v>49</v>
      </c>
      <c r="AQ70" s="70" t="s">
        <v>51</v>
      </c>
      <c r="AR70" s="13">
        <f t="shared" si="4"/>
        <v>163243370332.49124</v>
      </c>
    </row>
    <row r="71" spans="2:44" x14ac:dyDescent="0.45">
      <c r="B71" s="12" t="s">
        <v>49</v>
      </c>
      <c r="C71" s="9" t="s">
        <v>52</v>
      </c>
      <c r="D71" s="13">
        <f t="shared" si="0"/>
        <v>50122945832.889481</v>
      </c>
      <c r="L71" s="12" t="s">
        <v>49</v>
      </c>
      <c r="M71" s="9" t="s">
        <v>52</v>
      </c>
      <c r="N71" s="13">
        <f t="shared" si="1"/>
        <v>23691297895.22023</v>
      </c>
      <c r="V71" s="12" t="s">
        <v>49</v>
      </c>
      <c r="W71" s="9" t="s">
        <v>52</v>
      </c>
      <c r="X71" s="13">
        <f t="shared" si="2"/>
        <v>402523960508.9953</v>
      </c>
      <c r="AF71" s="12" t="s">
        <v>49</v>
      </c>
      <c r="AG71" s="9" t="s">
        <v>52</v>
      </c>
      <c r="AH71" s="13">
        <f t="shared" si="3"/>
        <v>13579901737.599085</v>
      </c>
      <c r="AP71" s="12" t="s">
        <v>49</v>
      </c>
      <c r="AQ71" s="70" t="s">
        <v>52</v>
      </c>
      <c r="AR71" s="13">
        <f t="shared" si="4"/>
        <v>489918105974.70404</v>
      </c>
    </row>
    <row r="72" spans="2:44" x14ac:dyDescent="0.45">
      <c r="B72" s="12" t="s">
        <v>49</v>
      </c>
      <c r="C72" s="9" t="s">
        <v>53</v>
      </c>
      <c r="D72" s="13">
        <f t="shared" si="0"/>
        <v>84388721.394599944</v>
      </c>
      <c r="L72" s="12" t="s">
        <v>49</v>
      </c>
      <c r="M72" s="9" t="s">
        <v>53</v>
      </c>
      <c r="N72" s="13">
        <f t="shared" si="1"/>
        <v>40026453.51282692</v>
      </c>
      <c r="V72" s="12" t="s">
        <v>49</v>
      </c>
      <c r="W72" s="9" t="s">
        <v>53</v>
      </c>
      <c r="X72" s="13">
        <f t="shared" si="2"/>
        <v>3240675608.0785799</v>
      </c>
      <c r="AF72" s="12" t="s">
        <v>49</v>
      </c>
      <c r="AG72" s="9" t="s">
        <v>53</v>
      </c>
      <c r="AH72" s="13">
        <f t="shared" si="3"/>
        <v>723044278.46124637</v>
      </c>
      <c r="AP72" s="12" t="s">
        <v>49</v>
      </c>
      <c r="AQ72" s="70" t="s">
        <v>74</v>
      </c>
      <c r="AR72" s="13">
        <f t="shared" si="4"/>
        <v>4088135061.4472532</v>
      </c>
    </row>
    <row r="73" spans="2:44" x14ac:dyDescent="0.45">
      <c r="B73" s="12" t="s">
        <v>54</v>
      </c>
      <c r="C73" s="9" t="s">
        <v>55</v>
      </c>
      <c r="D73" s="13">
        <f t="shared" si="0"/>
        <v>347469641.26370978</v>
      </c>
      <c r="L73" s="12" t="s">
        <v>54</v>
      </c>
      <c r="M73" s="9" t="s">
        <v>55</v>
      </c>
      <c r="N73" s="13">
        <f t="shared" si="1"/>
        <v>164273440.86976793</v>
      </c>
      <c r="V73" s="12" t="s">
        <v>54</v>
      </c>
      <c r="W73" s="9" t="s">
        <v>55</v>
      </c>
      <c r="X73" s="13">
        <f t="shared" si="2"/>
        <v>3990254387.0602303</v>
      </c>
      <c r="AF73" s="12" t="s">
        <v>54</v>
      </c>
      <c r="AG73" s="9" t="s">
        <v>55</v>
      </c>
      <c r="AH73" s="13">
        <f t="shared" si="3"/>
        <v>218662.04606400002</v>
      </c>
      <c r="AP73" s="12" t="s">
        <v>54</v>
      </c>
      <c r="AQ73" s="70" t="s">
        <v>55</v>
      </c>
      <c r="AR73" s="13">
        <f t="shared" si="4"/>
        <v>4502216131.2397728</v>
      </c>
    </row>
    <row r="74" spans="2:44" x14ac:dyDescent="0.45">
      <c r="B74" s="12" t="s">
        <v>54</v>
      </c>
      <c r="C74" s="9" t="s">
        <v>56</v>
      </c>
      <c r="D74" s="13">
        <f t="shared" si="0"/>
        <v>347463046.97810978</v>
      </c>
      <c r="L74" s="12" t="s">
        <v>54</v>
      </c>
      <c r="M74" s="9" t="s">
        <v>56</v>
      </c>
      <c r="N74" s="13">
        <f t="shared" si="1"/>
        <v>164270324.04235232</v>
      </c>
      <c r="V74" s="12" t="s">
        <v>54</v>
      </c>
      <c r="W74" s="9" t="s">
        <v>56</v>
      </c>
      <c r="X74" s="13">
        <f t="shared" si="2"/>
        <v>3990754213.7769656</v>
      </c>
      <c r="AF74" s="12" t="s">
        <v>54</v>
      </c>
      <c r="AG74" s="9" t="s">
        <v>56</v>
      </c>
      <c r="AH74" s="13">
        <f t="shared" si="3"/>
        <v>218662.04606400002</v>
      </c>
      <c r="AP74" s="12" t="s">
        <v>54</v>
      </c>
      <c r="AQ74" s="70" t="s">
        <v>56</v>
      </c>
      <c r="AR74" s="13">
        <f t="shared" si="4"/>
        <v>4502706246.8434925</v>
      </c>
    </row>
    <row r="75" spans="2:44" ht="17.5" thickBot="1" x14ac:dyDescent="0.5">
      <c r="B75" s="14" t="s">
        <v>54</v>
      </c>
      <c r="C75" s="15" t="s">
        <v>57</v>
      </c>
      <c r="D75" s="16">
        <f t="shared" si="0"/>
        <v>1249997199.3362691</v>
      </c>
      <c r="L75" s="14" t="s">
        <v>54</v>
      </c>
      <c r="M75" s="15" t="s">
        <v>57</v>
      </c>
      <c r="N75" s="16">
        <f t="shared" si="1"/>
        <v>595880169.12407887</v>
      </c>
      <c r="V75" s="14" t="s">
        <v>54</v>
      </c>
      <c r="W75" s="15" t="s">
        <v>57</v>
      </c>
      <c r="X75" s="16">
        <f t="shared" si="2"/>
        <v>171789585696.19125</v>
      </c>
      <c r="AF75" s="14" t="s">
        <v>54</v>
      </c>
      <c r="AG75" s="15" t="s">
        <v>57</v>
      </c>
      <c r="AH75" s="16">
        <f t="shared" si="3"/>
        <v>102854270951.16814</v>
      </c>
      <c r="AP75" s="14" t="s">
        <v>54</v>
      </c>
      <c r="AQ75" s="71" t="s">
        <v>57</v>
      </c>
      <c r="AR75" s="16">
        <f t="shared" si="4"/>
        <v>276489734015.81976</v>
      </c>
    </row>
    <row r="79" spans="2:44" x14ac:dyDescent="0.45">
      <c r="L79" s="9"/>
      <c r="M79" s="9"/>
      <c r="N79" s="9"/>
      <c r="V79" s="9"/>
      <c r="W79" s="9"/>
      <c r="X79" s="9"/>
      <c r="AF79" s="9"/>
      <c r="AG79" s="9"/>
      <c r="AH79" s="9"/>
      <c r="AP79" s="9"/>
      <c r="AQ79" s="9"/>
      <c r="AR79" s="9"/>
    </row>
    <row r="80" spans="2:44" x14ac:dyDescent="0.45">
      <c r="L80" s="9"/>
      <c r="M80" s="9"/>
      <c r="N80" s="9"/>
      <c r="V80" s="9"/>
      <c r="W80" s="9"/>
      <c r="X80" s="9"/>
      <c r="AF80" s="9"/>
      <c r="AG80" s="9"/>
      <c r="AH80" s="9"/>
      <c r="AP80" s="9"/>
      <c r="AQ80" s="9"/>
      <c r="AR80" s="9"/>
    </row>
    <row r="85" spans="2:44" x14ac:dyDescent="0.45">
      <c r="L85" s="9"/>
      <c r="M85" s="9"/>
      <c r="N85" s="9"/>
      <c r="V85" s="9"/>
      <c r="W85" s="9"/>
      <c r="X85" s="9"/>
      <c r="AF85" s="9"/>
      <c r="AG85" s="9"/>
      <c r="AH85" s="9"/>
      <c r="AP85" s="9"/>
      <c r="AQ85" s="9"/>
      <c r="AR85" s="9"/>
    </row>
    <row r="92" spans="2:44" ht="17.5" thickBot="1" x14ac:dyDescent="0.5">
      <c r="B92" s="10" t="s">
        <v>120</v>
      </c>
      <c r="L92" s="10" t="s">
        <v>125</v>
      </c>
    </row>
    <row r="93" spans="2:44" x14ac:dyDescent="0.45">
      <c r="B93" s="25"/>
      <c r="C93" s="11"/>
      <c r="D93" s="19" t="s">
        <v>124</v>
      </c>
      <c r="E93" s="9"/>
      <c r="F93" s="9"/>
      <c r="G93" s="9"/>
      <c r="H93" s="9"/>
      <c r="I93" s="9"/>
      <c r="J93" s="9"/>
      <c r="K93" s="9"/>
      <c r="L93" s="17"/>
      <c r="M93" s="18"/>
      <c r="N93" s="19" t="s">
        <v>124</v>
      </c>
    </row>
    <row r="94" spans="2:44" x14ac:dyDescent="0.45">
      <c r="B94" s="65" t="s">
        <v>38</v>
      </c>
      <c r="C94" s="66" t="s">
        <v>39</v>
      </c>
      <c r="D94" s="13">
        <v>90497786816.233978</v>
      </c>
      <c r="E94" s="9"/>
      <c r="F94" s="9"/>
      <c r="G94" s="9"/>
      <c r="H94" s="9"/>
      <c r="I94" s="9"/>
      <c r="J94" s="9"/>
      <c r="K94" s="9"/>
      <c r="L94" s="65" t="s">
        <v>38</v>
      </c>
      <c r="M94" s="66" t="s">
        <v>39</v>
      </c>
      <c r="N94" s="13">
        <v>1.0105349692980323</v>
      </c>
    </row>
    <row r="95" spans="2:44" x14ac:dyDescent="0.45">
      <c r="B95" s="65" t="s">
        <v>38</v>
      </c>
      <c r="C95" s="66" t="s">
        <v>40</v>
      </c>
      <c r="D95" s="13">
        <v>402589158.0854485</v>
      </c>
      <c r="E95" s="9"/>
      <c r="F95" s="9"/>
      <c r="G95" s="9"/>
      <c r="H95" s="9"/>
      <c r="I95" s="9"/>
      <c r="J95" s="9"/>
      <c r="K95" s="9"/>
      <c r="L95" s="65" t="s">
        <v>38</v>
      </c>
      <c r="M95" s="66" t="s">
        <v>40</v>
      </c>
      <c r="N95" s="13">
        <v>1.0160222383716635</v>
      </c>
    </row>
    <row r="96" spans="2:44" x14ac:dyDescent="0.45">
      <c r="B96" s="65" t="s">
        <v>38</v>
      </c>
      <c r="C96" s="66" t="s">
        <v>41</v>
      </c>
      <c r="D96" s="13">
        <v>187212930.56974551</v>
      </c>
      <c r="E96" s="9"/>
      <c r="F96" s="9"/>
      <c r="G96" s="9"/>
      <c r="H96" s="9"/>
      <c r="I96" s="9"/>
      <c r="L96" s="65" t="s">
        <v>38</v>
      </c>
      <c r="M96" s="66" t="s">
        <v>41</v>
      </c>
      <c r="N96" s="13">
        <v>1.0172568826074306</v>
      </c>
    </row>
    <row r="97" spans="2:14" x14ac:dyDescent="0.45">
      <c r="B97" s="65" t="s">
        <v>38</v>
      </c>
      <c r="C97" s="66" t="s">
        <v>42</v>
      </c>
      <c r="D97" s="13">
        <v>4303984271.2776585</v>
      </c>
      <c r="E97" s="9"/>
      <c r="F97" s="9"/>
      <c r="G97" s="9"/>
      <c r="H97" s="9"/>
      <c r="I97" s="9"/>
      <c r="L97" s="65" t="s">
        <v>38</v>
      </c>
      <c r="M97" s="66" t="s">
        <v>42</v>
      </c>
      <c r="N97" s="13">
        <v>1.0105764301713656</v>
      </c>
    </row>
    <row r="98" spans="2:14" x14ac:dyDescent="0.45">
      <c r="B98" s="65" t="s">
        <v>38</v>
      </c>
      <c r="C98" s="66" t="s">
        <v>43</v>
      </c>
      <c r="D98" s="13">
        <v>27042881523.687401</v>
      </c>
      <c r="E98" s="9"/>
      <c r="F98" s="9"/>
      <c r="G98" s="9"/>
      <c r="H98" s="9"/>
      <c r="I98" s="9"/>
      <c r="L98" s="65" t="s">
        <v>38</v>
      </c>
      <c r="M98" s="66" t="s">
        <v>43</v>
      </c>
      <c r="N98" s="13">
        <v>0.99285222465016776</v>
      </c>
    </row>
    <row r="99" spans="2:14" x14ac:dyDescent="0.45">
      <c r="B99" s="65" t="s">
        <v>38</v>
      </c>
      <c r="C99" s="66" t="s">
        <v>44</v>
      </c>
      <c r="D99" s="13">
        <v>1846590167425.5947</v>
      </c>
      <c r="E99" s="9"/>
      <c r="F99" s="9"/>
      <c r="G99" s="9"/>
      <c r="H99" s="9"/>
      <c r="I99" s="9"/>
      <c r="L99" s="65" t="s">
        <v>38</v>
      </c>
      <c r="M99" s="66" t="s">
        <v>44</v>
      </c>
      <c r="N99" s="13">
        <v>1.0181174692505215</v>
      </c>
    </row>
    <row r="100" spans="2:14" x14ac:dyDescent="0.45">
      <c r="B100" s="65"/>
      <c r="C100" s="66"/>
      <c r="D100" s="13" t="s">
        <v>122</v>
      </c>
      <c r="E100" s="9"/>
      <c r="F100" s="9"/>
      <c r="G100" s="9"/>
      <c r="H100" s="9"/>
      <c r="I100" s="9"/>
      <c r="L100" s="65"/>
      <c r="M100" s="66"/>
      <c r="N100" s="13"/>
    </row>
    <row r="101" spans="2:14" x14ac:dyDescent="0.45">
      <c r="B101" s="65" t="s">
        <v>45</v>
      </c>
      <c r="C101" s="66" t="s">
        <v>46</v>
      </c>
      <c r="D101" s="13">
        <v>203281957.2544764</v>
      </c>
      <c r="E101" s="9"/>
      <c r="F101" s="9"/>
      <c r="G101" s="9"/>
      <c r="H101" s="9"/>
      <c r="I101" s="9"/>
      <c r="L101" s="65" t="s">
        <v>45</v>
      </c>
      <c r="M101" s="66" t="s">
        <v>46</v>
      </c>
      <c r="N101" s="13">
        <v>1.015189556511122</v>
      </c>
    </row>
    <row r="102" spans="2:14" x14ac:dyDescent="0.45">
      <c r="B102" s="65" t="s">
        <v>45</v>
      </c>
      <c r="C102" s="66" t="s">
        <v>47</v>
      </c>
      <c r="D102" s="13">
        <v>85419411.251089796</v>
      </c>
      <c r="E102" s="9"/>
      <c r="F102" s="9"/>
      <c r="G102" s="9"/>
      <c r="H102" s="9"/>
      <c r="I102" s="9"/>
      <c r="L102" s="65" t="s">
        <v>45</v>
      </c>
      <c r="M102" s="66" t="s">
        <v>47</v>
      </c>
      <c r="N102" s="13">
        <v>1.0172218961900126</v>
      </c>
    </row>
    <row r="103" spans="2:14" x14ac:dyDescent="0.45">
      <c r="B103" s="65" t="s">
        <v>45</v>
      </c>
      <c r="C103" s="66" t="s">
        <v>48</v>
      </c>
      <c r="D103" s="13">
        <v>798244560167.03088</v>
      </c>
      <c r="E103" s="9"/>
      <c r="F103" s="9"/>
      <c r="G103" s="9"/>
      <c r="H103" s="9"/>
      <c r="I103" s="9"/>
      <c r="L103" s="65" t="s">
        <v>45</v>
      </c>
      <c r="M103" s="66" t="s">
        <v>48</v>
      </c>
      <c r="N103" s="13">
        <v>1.0167929149705115</v>
      </c>
    </row>
    <row r="104" spans="2:14" x14ac:dyDescent="0.45">
      <c r="B104" s="65"/>
      <c r="C104" s="66"/>
      <c r="D104" s="13" t="s">
        <v>122</v>
      </c>
      <c r="E104" s="9"/>
      <c r="F104" s="9"/>
      <c r="G104" s="9"/>
      <c r="H104" s="9"/>
      <c r="I104" s="9"/>
      <c r="L104" s="65"/>
      <c r="M104" s="66"/>
      <c r="N104" s="13"/>
    </row>
    <row r="105" spans="2:14" x14ac:dyDescent="0.45">
      <c r="B105" s="65" t="s">
        <v>49</v>
      </c>
      <c r="C105" s="66" t="s">
        <v>121</v>
      </c>
      <c r="D105" s="13">
        <v>19273414764.606117</v>
      </c>
      <c r="E105" s="9"/>
      <c r="F105" s="9"/>
      <c r="G105" s="9"/>
      <c r="H105" s="9"/>
      <c r="I105" s="9"/>
      <c r="L105" s="65" t="s">
        <v>49</v>
      </c>
      <c r="M105" s="66" t="s">
        <v>121</v>
      </c>
      <c r="N105" s="13">
        <v>0.97124232099290786</v>
      </c>
    </row>
    <row r="106" spans="2:14" x14ac:dyDescent="0.45">
      <c r="B106" s="65" t="s">
        <v>49</v>
      </c>
      <c r="C106" s="66" t="s">
        <v>51</v>
      </c>
      <c r="D106" s="13">
        <v>161941715288.61859</v>
      </c>
      <c r="E106" s="9"/>
      <c r="F106" s="9"/>
      <c r="G106" s="9"/>
      <c r="H106" s="9"/>
      <c r="I106" s="9"/>
      <c r="L106" s="65" t="s">
        <v>49</v>
      </c>
      <c r="M106" s="66" t="s">
        <v>51</v>
      </c>
      <c r="N106" s="13">
        <v>1.0035141055472145</v>
      </c>
    </row>
    <row r="107" spans="2:14" x14ac:dyDescent="0.45">
      <c r="B107" s="65" t="s">
        <v>49</v>
      </c>
      <c r="C107" s="66" t="s">
        <v>52</v>
      </c>
      <c r="D107" s="13">
        <v>485813637999.01331</v>
      </c>
      <c r="E107" s="9"/>
      <c r="F107" s="9"/>
      <c r="G107" s="9"/>
      <c r="H107" s="9"/>
      <c r="I107" s="9"/>
      <c r="L107" s="65" t="s">
        <v>49</v>
      </c>
      <c r="M107" s="66" t="s">
        <v>52</v>
      </c>
      <c r="N107" s="13">
        <v>1.0014312957522835</v>
      </c>
    </row>
    <row r="108" spans="2:14" x14ac:dyDescent="0.45">
      <c r="B108" s="65" t="s">
        <v>49</v>
      </c>
      <c r="C108" s="66" t="s">
        <v>53</v>
      </c>
      <c r="D108" s="13">
        <v>4078279043.1458282</v>
      </c>
      <c r="E108" s="9"/>
      <c r="F108" s="9"/>
      <c r="G108" s="9"/>
      <c r="H108" s="9"/>
      <c r="I108" s="9"/>
      <c r="L108" s="65" t="s">
        <v>49</v>
      </c>
      <c r="M108" s="66" t="s">
        <v>53</v>
      </c>
      <c r="N108" s="13">
        <v>1.0154813533647784</v>
      </c>
    </row>
    <row r="109" spans="2:14" x14ac:dyDescent="0.45">
      <c r="B109" s="65"/>
      <c r="C109" s="66"/>
      <c r="D109" s="13" t="s">
        <v>122</v>
      </c>
      <c r="E109" s="9"/>
      <c r="F109" s="9"/>
      <c r="G109" s="9"/>
      <c r="H109" s="9"/>
      <c r="I109" s="9"/>
      <c r="L109" s="65"/>
      <c r="M109" s="66"/>
      <c r="N109" s="13"/>
    </row>
    <row r="110" spans="2:14" x14ac:dyDescent="0.45">
      <c r="B110" s="65" t="s">
        <v>54</v>
      </c>
      <c r="C110" s="66" t="s">
        <v>55</v>
      </c>
      <c r="D110" s="13">
        <v>4453074612.2402267</v>
      </c>
      <c r="E110" s="9"/>
      <c r="F110" s="9"/>
      <c r="G110" s="9"/>
      <c r="H110" s="9"/>
      <c r="I110" s="9"/>
      <c r="L110" s="65" t="s">
        <v>54</v>
      </c>
      <c r="M110" s="66" t="s">
        <v>55</v>
      </c>
      <c r="N110" s="13">
        <v>1.0022093275076451</v>
      </c>
    </row>
    <row r="111" spans="2:14" x14ac:dyDescent="0.45">
      <c r="B111" s="65" t="s">
        <v>54</v>
      </c>
      <c r="C111" s="66" t="s">
        <v>56</v>
      </c>
      <c r="D111" s="13">
        <v>4504869772.9843836</v>
      </c>
      <c r="E111" s="9"/>
      <c r="F111" s="9"/>
      <c r="G111" s="9"/>
      <c r="H111" s="9"/>
      <c r="I111" s="9"/>
      <c r="L111" s="65" t="s">
        <v>54</v>
      </c>
      <c r="M111" s="66" t="s">
        <v>56</v>
      </c>
      <c r="N111" s="13">
        <v>1.0138764541790828</v>
      </c>
    </row>
    <row r="112" spans="2:14" x14ac:dyDescent="0.45">
      <c r="B112" s="65" t="s">
        <v>54</v>
      </c>
      <c r="C112" s="66" t="s">
        <v>57</v>
      </c>
      <c r="D112" s="13">
        <v>275984827639.37531</v>
      </c>
      <c r="E112" s="9"/>
      <c r="F112" s="9"/>
      <c r="G112" s="9"/>
      <c r="H112" s="9"/>
      <c r="I112" s="9"/>
      <c r="L112" s="65" t="s">
        <v>54</v>
      </c>
      <c r="M112" s="66" t="s">
        <v>57</v>
      </c>
      <c r="N112" s="13">
        <v>1.0165839719310439</v>
      </c>
    </row>
    <row r="113" spans="2:14" x14ac:dyDescent="0.45">
      <c r="B113" s="12"/>
      <c r="C113" s="9"/>
      <c r="D113" s="13"/>
      <c r="E113" s="9"/>
      <c r="F113" s="9"/>
      <c r="G113" s="9"/>
      <c r="H113" s="9"/>
      <c r="I113" s="9"/>
      <c r="L113" s="65"/>
      <c r="M113" s="66"/>
      <c r="N113" s="13"/>
    </row>
    <row r="114" spans="2:14" ht="17.5" thickBot="1" x14ac:dyDescent="0.5">
      <c r="B114" s="67" t="s">
        <v>123</v>
      </c>
      <c r="C114" s="15"/>
      <c r="D114" s="68">
        <v>13036193689.621181</v>
      </c>
      <c r="E114" s="9"/>
      <c r="F114" s="9"/>
      <c r="G114" s="9"/>
      <c r="H114" s="9"/>
      <c r="I114" s="9"/>
      <c r="L114" s="67"/>
      <c r="M114" s="69" t="s">
        <v>123</v>
      </c>
      <c r="N114" s="16">
        <v>1.0086086689785234</v>
      </c>
    </row>
    <row r="208" spans="26:29" x14ac:dyDescent="0.45">
      <c r="Z208" s="9"/>
      <c r="AA208" s="9"/>
      <c r="AB208" s="9"/>
      <c r="AC208" s="9"/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Power calculation</vt:lpstr>
      <vt:lpstr>Unity</vt:lpstr>
      <vt:lpstr>DUO</vt:lpstr>
      <vt:lpstr>HBM4</vt:lpstr>
      <vt:lpstr>Cerberus_32b</vt:lpstr>
      <vt:lpstr>Cerberus_40b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최보열</dc:creator>
  <cp:lastModifiedBy>승현 김</cp:lastModifiedBy>
  <dcterms:created xsi:type="dcterms:W3CDTF">2024-11-28T16:45:02Z</dcterms:created>
  <dcterms:modified xsi:type="dcterms:W3CDTF">2026-04-03T08:14:12Z</dcterms:modified>
</cp:coreProperties>
</file>